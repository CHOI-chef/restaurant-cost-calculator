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기능 전체 현황" sheetId="1" state="visible" r:id="rId1"/>
    <sheet xmlns:r="http://schemas.openxmlformats.org/officeDocument/2006/relationships" name="② 추가 기능 상세" sheetId="2" state="visible" r:id="rId2"/>
    <sheet xmlns:r="http://schemas.openxmlformats.org/officeDocument/2006/relationships" name="③ DB 스키마" sheetId="3" state="visible" r:id="rId3"/>
    <sheet xmlns:r="http://schemas.openxmlformats.org/officeDocument/2006/relationships" name="④ 개발 로드맵" sheetId="4" state="visible" r:id="rId4"/>
    <sheet xmlns:r="http://schemas.openxmlformats.org/officeDocument/2006/relationships" name="⑤ 인건비 설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E3A5F"/>
      <sz val="16"/>
    </font>
    <font>
      <name val="Arial"/>
      <b val="1"/>
      <color rgb="00FFFFFF"/>
      <sz val="11"/>
    </font>
    <font>
      <name val="Arial"/>
      <b val="1"/>
      <color rgb="001E3A5F"/>
      <sz val="10"/>
    </font>
    <font>
      <name val="Arial"/>
      <color rgb="00333333"/>
      <sz val="10"/>
    </font>
    <font>
      <name val="Arial"/>
      <b val="1"/>
      <color rgb="00059669"/>
      <sz val="10"/>
    </font>
    <font>
      <name val="Arial"/>
      <b val="1"/>
      <color rgb="006B7280"/>
      <sz val="10"/>
    </font>
    <font>
      <name val="Arial"/>
      <b val="1"/>
      <color rgb="00DC2626"/>
      <sz val="10"/>
    </font>
    <font>
      <name val="Arial"/>
      <b val="1"/>
      <color rgb="00D97706"/>
      <sz val="10"/>
    </font>
    <font>
      <name val="Arial"/>
      <b val="1"/>
      <color rgb="002563EB"/>
      <sz val="10"/>
    </font>
    <font>
      <name val="Arial"/>
      <color rgb="00059669"/>
      <sz val="10"/>
    </font>
    <font>
      <name val="Arial"/>
      <b val="1"/>
      <color rgb="00333333"/>
      <sz val="10"/>
    </font>
    <font>
      <name val="Arial"/>
      <b val="1"/>
      <color rgb="001E3A5F"/>
      <sz val="12"/>
    </font>
    <font>
      <name val="Arial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EF2F2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5" customWidth="1" min="3" max="3"/>
    <col width="22" customWidth="1" min="4" max="4"/>
    <col width="10" customWidth="1" min="5" max="5"/>
    <col width="10" customWidth="1" min="6" max="6"/>
    <col width="20" customWidth="1" min="7" max="7"/>
  </cols>
  <sheetData>
    <row r="1" ht="32" customHeight="1">
      <c r="A1" s="1" t="inlineStr">
        <is>
          <t>요식업 원가계산기 SaaS — 기능 전체 현황</t>
        </is>
      </c>
    </row>
    <row r="2" ht="22" customHeight="1">
      <c r="A2" s="2" t="inlineStr">
        <is>
          <t>No</t>
        </is>
      </c>
      <c r="B2" s="2" t="inlineStr">
        <is>
          <t>탭/섹션</t>
        </is>
      </c>
      <c r="C2" s="2" t="inlineStr">
        <is>
          <t>구현 기능 요약</t>
        </is>
      </c>
      <c r="D2" s="2" t="inlineStr">
        <is>
          <t>주요 데이터 항목</t>
        </is>
      </c>
      <c r="E2" s="2" t="inlineStr">
        <is>
          <t>상태</t>
        </is>
      </c>
      <c r="F2" s="2" t="inlineStr">
        <is>
          <t>우선순위</t>
        </is>
      </c>
      <c r="G2" s="2" t="inlineStr">
        <is>
          <t>비고</t>
        </is>
      </c>
    </row>
    <row r="3" ht="36" customHeight="1">
      <c r="A3" s="3" t="n">
        <v>1</v>
      </c>
      <c r="B3" s="4" t="inlineStr">
        <is>
          <t>대시보드</t>
        </is>
      </c>
      <c r="C3" s="4" t="inlineStr">
        <is>
          <t>메뉴별 원가율 요약 / 홀·배달 채널 분리 / 원가 위험 신호 / 오늘 단가 기준 실시간 원가율</t>
        </is>
      </c>
      <c r="D3" s="4" t="inlineStr">
        <is>
          <t>menus, price_history</t>
        </is>
      </c>
      <c r="E3" s="5" t="inlineStr">
        <is>
          <t>✅ 완료</t>
        </is>
      </c>
      <c r="F3" s="6" t="inlineStr">
        <is>
          <t>기존</t>
        </is>
      </c>
      <c r="G3" s="4" t="inlineStr"/>
    </row>
    <row r="4" ht="36" customHeight="1">
      <c r="A4" s="3" t="n">
        <v>2</v>
      </c>
      <c r="B4" s="4" t="inlineStr">
        <is>
          <t>단가 관리</t>
        </is>
      </c>
      <c r="C4" s="4" t="inlineStr">
        <is>
          <t>오늘 납품가 입력 / 기본 단가 대비 등락 / 월별 이력 기록 / 월평균 원가율 변화</t>
        </is>
      </c>
      <c r="D4" s="4" t="inlineStr">
        <is>
          <t>price_history, vendors</t>
        </is>
      </c>
      <c r="E4" s="5" t="inlineStr">
        <is>
          <t>✅ 완료</t>
        </is>
      </c>
      <c r="F4" s="6" t="inlineStr">
        <is>
          <t>기존</t>
        </is>
      </c>
      <c r="G4" s="4" t="inlineStr"/>
    </row>
    <row r="5" ht="36" customHeight="1">
      <c r="A5" s="3" t="n">
        <v>3</v>
      </c>
      <c r="B5" s="4" t="inlineStr">
        <is>
          <t>매출 분석</t>
        </is>
      </c>
      <c r="C5" s="4" t="inlineStr">
        <is>
          <t>홀·배달 매출 입력 / 식재료비 비율 / 배달 수수료 계산 / 월별 이력 저장</t>
        </is>
      </c>
      <c r="D5" s="4" t="inlineStr">
        <is>
          <t>monthly_sales</t>
        </is>
      </c>
      <c r="E5" s="5" t="inlineStr">
        <is>
          <t>✅ 완료</t>
        </is>
      </c>
      <c r="F5" s="6" t="inlineStr">
        <is>
          <t>기존</t>
        </is>
      </c>
      <c r="G5" s="4" t="inlineStr"/>
    </row>
    <row r="6" ht="36" customHeight="1">
      <c r="A6" s="3" t="n">
        <v>4</v>
      </c>
      <c r="B6" s="4" t="inlineStr">
        <is>
          <t>식재료 관리</t>
        </is>
      </c>
      <c r="C6" s="4" t="inlineStr">
        <is>
          <t>식재료 등록(업체·단위·중량·납품가) / 단위원가 자동계산 / 업체별 필터</t>
        </is>
      </c>
      <c r="D6" s="4" t="inlineStr">
        <is>
          <t>ingredients</t>
        </is>
      </c>
      <c r="E6" s="5" t="inlineStr">
        <is>
          <t>✅ 완료</t>
        </is>
      </c>
      <c r="F6" s="6" t="inlineStr">
        <is>
          <t>기존</t>
        </is>
      </c>
      <c r="G6" s="4" t="inlineStr"/>
    </row>
    <row r="7" ht="36" customHeight="1">
      <c r="A7" s="3" t="n">
        <v>5</v>
      </c>
      <c r="B7" s="4" t="inlineStr">
        <is>
          <t>자체제조</t>
        </is>
      </c>
      <c r="C7" s="4" t="inlineStr">
        <is>
          <t>복합 재료 등록 / 식재료 조합 원가 계산 / 단위원가 산출</t>
        </is>
      </c>
      <c r="D7" s="4" t="inlineStr">
        <is>
          <t>compounds</t>
        </is>
      </c>
      <c r="E7" s="5" t="inlineStr">
        <is>
          <t>✅ 완료</t>
        </is>
      </c>
      <c r="F7" s="6" t="inlineStr">
        <is>
          <t>기존</t>
        </is>
      </c>
      <c r="G7" s="4" t="inlineStr">
        <is>
          <t>중첩 미지원 → 1차에서 추가</t>
        </is>
      </c>
    </row>
    <row r="8" ht="36" customHeight="1">
      <c r="A8" s="3" t="n">
        <v>6</v>
      </c>
      <c r="B8" s="4" t="inlineStr">
        <is>
          <t>소모품</t>
        </is>
      </c>
      <c r="C8" s="4" t="inlineStr">
        <is>
          <t>소모품 등록 / 채널별 분리 / 메뉴당 원가 계산방식 선택</t>
        </is>
      </c>
      <c r="D8" s="4" t="inlineStr">
        <is>
          <t>consumables</t>
        </is>
      </c>
      <c r="E8" s="5" t="inlineStr">
        <is>
          <t>✅ 완료</t>
        </is>
      </c>
      <c r="F8" s="6" t="inlineStr">
        <is>
          <t>기존</t>
        </is>
      </c>
      <c r="G8" s="4" t="inlineStr"/>
    </row>
    <row r="9" ht="36" customHeight="1">
      <c r="A9" s="3" t="n">
        <v>7</v>
      </c>
      <c r="B9" s="4" t="inlineStr">
        <is>
          <t>주류</t>
        </is>
      </c>
      <c r="C9" s="4" t="inlineStr">
        <is>
          <t>주류 등록 / ml당 원가 계산 / 판매가 대비 원가율</t>
        </is>
      </c>
      <c r="D9" s="4" t="inlineStr">
        <is>
          <t>liquors</t>
        </is>
      </c>
      <c r="E9" s="5" t="inlineStr">
        <is>
          <t>✅ 완료</t>
        </is>
      </c>
      <c r="F9" s="6" t="inlineStr">
        <is>
          <t>기존</t>
        </is>
      </c>
      <c r="G9" s="4" t="inlineStr"/>
    </row>
    <row r="10" ht="36" customHeight="1">
      <c r="A10" s="3" t="n">
        <v>8</v>
      </c>
      <c r="B10" s="4" t="inlineStr">
        <is>
          <t>밑반찬</t>
        </is>
      </c>
      <c r="C10" s="4" t="inlineStr">
        <is>
          <t>밑반찬 등록 / 리필 방식 선택 / 전체 공통 원가 계산</t>
        </is>
      </c>
      <c r="D10" s="4" t="inlineStr">
        <is>
          <t>side_dishes</t>
        </is>
      </c>
      <c r="E10" s="5" t="inlineStr">
        <is>
          <t>✅ 완료</t>
        </is>
      </c>
      <c r="F10" s="6" t="inlineStr">
        <is>
          <t>기존</t>
        </is>
      </c>
      <c r="G10" s="4" t="inlineStr">
        <is>
          <t>전체공통 → 메뉴별 분리는 1차에서</t>
        </is>
      </c>
    </row>
    <row r="11" ht="36" customHeight="1">
      <c r="A11" s="3" t="n">
        <v>9</v>
      </c>
      <c r="B11" s="4" t="inlineStr">
        <is>
          <t>메뉴 레시피</t>
        </is>
      </c>
      <c r="C11" s="4" t="inlineStr">
        <is>
          <t>메뉴 등록 / 채널 선택 / 전체 원가 합산 / 배달 수수료 포함 원가율</t>
        </is>
      </c>
      <c r="D11" s="4" t="inlineStr">
        <is>
          <t>menus, recipes</t>
        </is>
      </c>
      <c r="E11" s="5" t="inlineStr">
        <is>
          <t>✅ 완료</t>
        </is>
      </c>
      <c r="F11" s="6" t="inlineStr">
        <is>
          <t>기존</t>
        </is>
      </c>
      <c r="G11" s="4" t="inlineStr"/>
    </row>
    <row r="12" ht="36" customHeight="1">
      <c r="A12" s="3" t="n">
        <v>10</v>
      </c>
      <c r="B12" s="4" t="inlineStr">
        <is>
          <t>자체제조 중첩</t>
        </is>
      </c>
      <c r="C12" s="4" t="inlineStr">
        <is>
          <t>자체제조 안에 자체제조 포함 / 재귀 원가 자동계산 / 순환참조 방지</t>
        </is>
      </c>
      <c r="D12" s="4" t="inlineStr">
        <is>
          <t>compounds (parent_id)</t>
        </is>
      </c>
      <c r="E12" s="6" t="inlineStr">
        <is>
          <t>⬜ 미구현</t>
        </is>
      </c>
      <c r="F12" s="7" t="inlineStr">
        <is>
          <t>🔴 1차</t>
        </is>
      </c>
      <c r="G12" s="4" t="inlineStr">
        <is>
          <t>순환참조 방지 로직 필수</t>
        </is>
      </c>
    </row>
    <row r="13" ht="36" customHeight="1">
      <c r="A13" s="3" t="n">
        <v>11</v>
      </c>
      <c r="B13" s="4" t="inlineStr">
        <is>
          <t>메뉴 부재료/소스</t>
        </is>
      </c>
      <c r="C13" s="4" t="inlineStr">
        <is>
          <t>레시피 내 부재료 관리 / 1회·요청리필·무제한 선택 / 리필 횟수 슬라이더</t>
        </is>
      </c>
      <c r="D13" s="4" t="inlineStr">
        <is>
          <t>menu_sides</t>
        </is>
      </c>
      <c r="E13" s="6" t="inlineStr">
        <is>
          <t>⬜ 미구현</t>
        </is>
      </c>
      <c r="F13" s="7" t="inlineStr">
        <is>
          <t>🔴 1차</t>
        </is>
      </c>
      <c r="G13" s="4" t="inlineStr">
        <is>
          <t>전체 밑반찬과 별도 관리</t>
        </is>
      </c>
    </row>
    <row r="14" ht="36" customHeight="1">
      <c r="A14" s="3" t="n">
        <v>12</v>
      </c>
      <c r="B14" s="4" t="inlineStr">
        <is>
          <t>기준 원가 탭</t>
        </is>
      </c>
      <c r="C14" s="4" t="inlineStr">
        <is>
          <t>재료별 기준 단가 복수 등록 / 활성 기준 1개 선택 / 시즌 전환 버튼</t>
        </is>
      </c>
      <c r="D14" s="4" t="inlineStr">
        <is>
          <t>base_prices</t>
        </is>
      </c>
      <c r="E14" s="6" t="inlineStr">
        <is>
          <t>⬜ 미구현</t>
        </is>
      </c>
      <c r="F14" s="7" t="inlineStr">
        <is>
          <t>🔴 1차</t>
        </is>
      </c>
      <c r="G14" s="4" t="inlineStr"/>
    </row>
    <row r="15" ht="36" customHeight="1">
      <c r="A15" s="3" t="n">
        <v>13</v>
      </c>
      <c r="B15" s="4" t="inlineStr">
        <is>
          <t>폐기율 계산</t>
        </is>
      </c>
      <c r="C15" s="4" t="inlineStr">
        <is>
          <t>방법2(역산) 메인 / 방법1(직접입력) 보조 / 방법3(업종평균) 보조</t>
        </is>
      </c>
      <c r="D15" s="4" t="inlineStr">
        <is>
          <t>waste_rates</t>
        </is>
      </c>
      <c r="E15" s="6" t="inlineStr">
        <is>
          <t>⬜ 미구현</t>
        </is>
      </c>
      <c r="F15" s="8" t="inlineStr">
        <is>
          <t>🟡 2차</t>
        </is>
      </c>
      <c r="G15" s="4" t="inlineStr">
        <is>
          <t>우선순위 자동 적용: 2→1→3</t>
        </is>
      </c>
    </row>
    <row r="16" ht="36" customHeight="1">
      <c r="A16" s="3" t="n">
        <v>14</v>
      </c>
      <c r="B16" s="4" t="inlineStr">
        <is>
          <t>시즌 분석 탭</t>
        </is>
      </c>
      <c r="C16" s="4" t="inlineStr">
        <is>
          <t>기준원가 대비 월별 단가 바 차트 / 10% 이상 상승 자동 경고</t>
        </is>
      </c>
      <c r="D16" s="4" t="inlineStr">
        <is>
          <t>base_prices + history</t>
        </is>
      </c>
      <c r="E16" s="6" t="inlineStr">
        <is>
          <t>⬜ 미구현</t>
        </is>
      </c>
      <c r="F16" s="8" t="inlineStr">
        <is>
          <t>🟡 2차</t>
        </is>
      </c>
      <c r="G16" s="4" t="inlineStr">
        <is>
          <t>Chart.js 연동</t>
        </is>
      </c>
    </row>
    <row r="17" ht="36" customHeight="1">
      <c r="A17" s="3" t="n">
        <v>15</v>
      </c>
      <c r="B17" s="4" t="inlineStr">
        <is>
          <t>업체별 평균 세분화</t>
        </is>
      </c>
      <c r="C17" s="4" t="inlineStr">
        <is>
          <t>전체 평균 + 업체별 평균 분리 / 최저가 업체 자동 표시</t>
        </is>
      </c>
      <c r="D17" s="4" t="inlineStr">
        <is>
          <t>price_history, vendors</t>
        </is>
      </c>
      <c r="E17" s="6" t="inlineStr">
        <is>
          <t>⬜ 미구현</t>
        </is>
      </c>
      <c r="F17" s="8" t="inlineStr">
        <is>
          <t>🟡 2차</t>
        </is>
      </c>
      <c r="G17" s="4" t="inlineStr"/>
    </row>
    <row r="18" ht="36" customHeight="1">
      <c r="A18" s="3" t="n">
        <v>16</v>
      </c>
      <c r="B18" s="4" t="inlineStr">
        <is>
          <t>인건비 계산</t>
        </is>
      </c>
      <c r="C18" s="4" t="inlineStr">
        <is>
          <t>레시피 조리시간(분) 추가 / 최저시급 설정 / 메뉴당 인건비 자동계산</t>
        </is>
      </c>
      <c r="D18" s="4" t="inlineStr">
        <is>
          <t>menus.cook_time</t>
        </is>
      </c>
      <c r="E18" s="6" t="inlineStr">
        <is>
          <t>⬜ 미구현</t>
        </is>
      </c>
      <c r="F18" s="5" t="inlineStr">
        <is>
          <t>🟢 3차</t>
        </is>
      </c>
      <c r="G18" s="4" t="inlineStr">
        <is>
          <t>원가율 포함/미포함 동시 표시</t>
        </is>
      </c>
    </row>
    <row r="19" ht="36" customHeight="1">
      <c r="A19" s="3" t="n">
        <v>17</v>
      </c>
      <c r="B19" s="4" t="inlineStr">
        <is>
          <t>인원 관리 시뮬레이션</t>
        </is>
      </c>
      <c r="C19" s="4" t="inlineStr">
        <is>
          <t>총 조리시간 합산 / 필요 인원 계산 / 10·20·50% 증감 시뮬레이션</t>
        </is>
      </c>
      <c r="D19" s="4" t="inlineStr">
        <is>
          <t>monthly_sales + menus</t>
        </is>
      </c>
      <c r="E19" s="6" t="inlineStr">
        <is>
          <t>⬜ 미구현</t>
        </is>
      </c>
      <c r="F19" s="5" t="inlineStr">
        <is>
          <t>🟢 3차</t>
        </is>
      </c>
      <c r="G19" s="4" t="inlineStr">
        <is>
          <t>파트·풀타임 전환 기준 안내</t>
        </is>
      </c>
    </row>
    <row r="20" ht="36" customHeight="1">
      <c r="A20" s="3" t="n">
        <v>18</v>
      </c>
      <c r="B20" s="4" t="inlineStr">
        <is>
          <t>납품서 OCR</t>
        </is>
      </c>
      <c r="C20" s="4" t="inlineStr">
        <is>
          <t>납품서 사진 → 단가 자동 입력 / Edge Functions 연동</t>
        </is>
      </c>
      <c r="D20" s="4" t="inlineStr">
        <is>
          <t>Storage + Edge Fn</t>
        </is>
      </c>
      <c r="E20" s="6" t="inlineStr">
        <is>
          <t>⬜ 미구현</t>
        </is>
      </c>
      <c r="F20" s="9" t="inlineStr">
        <is>
          <t>4단계</t>
        </is>
      </c>
      <c r="G20" s="4" t="inlineStr">
        <is>
          <t>수익화 핵심 기능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20" customWidth="1" min="4" max="4"/>
    <col width="18" customWidth="1" min="5" max="5"/>
    <col width="10" customWidth="1" min="6" max="6"/>
    <col width="12" customWidth="1" min="7" max="7"/>
  </cols>
  <sheetData>
    <row r="1" ht="32" customHeight="1">
      <c r="A1" s="1" t="inlineStr">
        <is>
          <t>PC 작업 — 추가 기능 상세 명세</t>
        </is>
      </c>
    </row>
    <row r="2" ht="22" customHeight="1">
      <c r="A2" s="2" t="inlineStr">
        <is>
          <t>No</t>
        </is>
      </c>
      <c r="B2" s="2" t="inlineStr">
        <is>
          <t>기능명</t>
        </is>
      </c>
      <c r="C2" s="2" t="inlineStr">
        <is>
          <t>상세 설명</t>
        </is>
      </c>
      <c r="D2" s="2" t="inlineStr">
        <is>
          <t>연관 DB 테이블</t>
        </is>
      </c>
      <c r="E2" s="2" t="inlineStr">
        <is>
          <t>의존성</t>
        </is>
      </c>
      <c r="F2" s="2" t="inlineStr">
        <is>
          <t>작업 순서</t>
        </is>
      </c>
      <c r="G2" s="2" t="inlineStr">
        <is>
          <t>예상 난이도</t>
        </is>
      </c>
    </row>
    <row r="3" ht="68" customHeight="1">
      <c r="A3" s="3" t="n">
        <v>1</v>
      </c>
      <c r="B3" s="10" t="inlineStr">
        <is>
          <t>자체제조 중첩 레시피</t>
        </is>
      </c>
      <c r="C3" s="4" t="inlineStr">
        <is>
          <t>자체제조 항목 안에 다른 자체제조 포함 가능
재귀 원가 자동 계산 (depth 제한 필요)
순환참조 방지 로직 필수 (A→B→A 무한루프 차단)</t>
        </is>
      </c>
      <c r="D3" s="4" t="inlineStr">
        <is>
          <t>compounds (parent_id)</t>
        </is>
      </c>
      <c r="E3" s="4" t="inlineStr">
        <is>
          <t>기존 자체제조 완료</t>
        </is>
      </c>
      <c r="F3" s="7" t="inlineStr">
        <is>
          <t>1차-①</t>
        </is>
      </c>
      <c r="G3" s="8" t="inlineStr">
        <is>
          <t>★★★☆☆</t>
        </is>
      </c>
    </row>
    <row r="4" ht="68" customHeight="1">
      <c r="A4" s="3" t="n">
        <v>2</v>
      </c>
      <c r="B4" s="10" t="inlineStr">
        <is>
          <t>메뉴 부재료/소스 섹션</t>
        </is>
      </c>
      <c r="C4" s="4" t="inlineStr">
        <is>
          <t>레시피 내 부재료 별도 관리 (전체 밑반찬과 분리)
제공방식: 1회 제공 / 요청시 리필 / 무제한 리필
리필 횟수 슬라이더 → 해당 메뉴 원가에만 반영</t>
        </is>
      </c>
      <c r="D4" s="4" t="inlineStr">
        <is>
          <t>menu_sides</t>
        </is>
      </c>
      <c r="E4" s="4" t="inlineStr">
        <is>
          <t>메뉴 레시피 완료</t>
        </is>
      </c>
      <c r="F4" s="7" t="inlineStr">
        <is>
          <t>1차-②</t>
        </is>
      </c>
      <c r="G4" s="5" t="inlineStr">
        <is>
          <t>★★☆☆☆</t>
        </is>
      </c>
    </row>
    <row r="5" ht="68" customHeight="1">
      <c r="A5" s="3" t="n">
        <v>3</v>
      </c>
      <c r="B5" s="10" t="inlineStr">
        <is>
          <t>기준 원가 탭</t>
        </is>
      </c>
      <c r="C5" s="4" t="inlineStr">
        <is>
          <t>재료별 기준 단가 복수 등록 (성수기/비수기/연평균 등)
날짜·업체·비고/메모 포함
활성 기준 1개 선택 → 현재 비교 기준으로 사용
시즌 전환 버튼으로 즉시 변경</t>
        </is>
      </c>
      <c r="D5" s="4" t="inlineStr">
        <is>
          <t>base_prices</t>
        </is>
      </c>
      <c r="E5" s="4" t="inlineStr">
        <is>
          <t>식재료 등록 완료</t>
        </is>
      </c>
      <c r="F5" s="7" t="inlineStr">
        <is>
          <t>1차-③</t>
        </is>
      </c>
      <c r="G5" s="5" t="inlineStr">
        <is>
          <t>★★☆☆☆</t>
        </is>
      </c>
    </row>
    <row r="6" ht="68" customHeight="1">
      <c r="A6" s="3" t="n">
        <v>4</v>
      </c>
      <c r="B6" s="10" t="inlineStr">
        <is>
          <t>폐기율 계산 (방법2 메인)</t>
        </is>
      </c>
      <c r="C6" s="4" t="inlineStr">
        <is>
          <t>방법2(메인): 월 구매량 입력 → 레시피 사용량 자동 차감 → 폐기율 계산
방법1(보조): 직접 입력 + 측정일 메모
방법3(보조): 업종별 평균 참고값 (카테고리 선택)
우선순위 자동 적용: 실측값(2) &gt; 직접입력(1) &gt; 평균(3)
월별 폐기율 추이 기록</t>
        </is>
      </c>
      <c r="D6" s="4" t="inlineStr">
        <is>
          <t>waste_rates</t>
        </is>
      </c>
      <c r="E6" s="4" t="inlineStr">
        <is>
          <t>식재료 등록 + 메뉴 레시피</t>
        </is>
      </c>
      <c r="F6" s="8" t="inlineStr">
        <is>
          <t>2차-①</t>
        </is>
      </c>
      <c r="G6" s="8" t="inlineStr">
        <is>
          <t>★★★☆☆</t>
        </is>
      </c>
    </row>
    <row r="7" ht="68" customHeight="1">
      <c r="A7" s="3" t="n">
        <v>5</v>
      </c>
      <c r="B7" s="10" t="inlineStr">
        <is>
          <t>시즌 분석 탭</t>
        </is>
      </c>
      <c r="C7" s="4" t="inlineStr">
        <is>
          <t>기준 원가 대비 월별 단가 변동 바 차트
10% 이상 상승 달 자동 감지 및 경고 표시
전체 재료 시즌 요약 뷰</t>
        </is>
      </c>
      <c r="D7" s="4" t="inlineStr">
        <is>
          <t>base_prices + price_history</t>
        </is>
      </c>
      <c r="E7" s="4" t="inlineStr">
        <is>
          <t>기준 원가 탭 완료</t>
        </is>
      </c>
      <c r="F7" s="8" t="inlineStr">
        <is>
          <t>2차-②</t>
        </is>
      </c>
      <c r="G7" s="5" t="inlineStr">
        <is>
          <t>★★☆☆☆</t>
        </is>
      </c>
    </row>
    <row r="8" ht="68" customHeight="1">
      <c r="A8" s="3" t="n">
        <v>6</v>
      </c>
      <c r="B8" s="10" t="inlineStr">
        <is>
          <t>업체별 평균 세분화</t>
        </is>
      </c>
      <c r="C8" s="4" t="inlineStr">
        <is>
          <t>전체 평균 + 업체별 평균 분리 표시
최저가 업체 자동 하이라이트
업체별 기준 원가 대비 등락률</t>
        </is>
      </c>
      <c r="D8" s="4" t="inlineStr">
        <is>
          <t>price_history, vendors</t>
        </is>
      </c>
      <c r="E8" s="4" t="inlineStr">
        <is>
          <t>단가 관리 완료</t>
        </is>
      </c>
      <c r="F8" s="8" t="inlineStr">
        <is>
          <t>2차-③</t>
        </is>
      </c>
      <c r="G8" s="5" t="inlineStr">
        <is>
          <t>★★☆☆☆</t>
        </is>
      </c>
    </row>
    <row r="9" ht="68" customHeight="1">
      <c r="A9" s="3" t="n">
        <v>7</v>
      </c>
      <c r="B9" s="10" t="inlineStr">
        <is>
          <t>인건비 계산</t>
        </is>
      </c>
      <c r="C9" s="4" t="inlineStr">
        <is>
          <t>레시피에 조리시간(분) 항목 추가
최저시급 설정란 (연도별 업데이트 가능)
메뉴당 인건비 = 시급 ÷ 60 × 조리시간(분)
원가율 인건비 포함 / 미포함 동시 표시</t>
        </is>
      </c>
      <c r="D9" s="4" t="inlineStr">
        <is>
          <t>menus.cook_time, labor_settings</t>
        </is>
      </c>
      <c r="E9" s="4" t="inlineStr">
        <is>
          <t>메뉴 레시피 완료</t>
        </is>
      </c>
      <c r="F9" s="5" t="inlineStr">
        <is>
          <t>3차-①</t>
        </is>
      </c>
      <c r="G9" s="5" t="inlineStr">
        <is>
          <t>★★☆☆☆</t>
        </is>
      </c>
    </row>
    <row r="10" ht="68" customHeight="1">
      <c r="A10" s="3" t="n">
        <v>8</v>
      </c>
      <c r="B10" s="10" t="inlineStr">
        <is>
          <t>인원 관리 시뮬레이션</t>
        </is>
      </c>
      <c r="C10" s="4" t="inlineStr">
        <is>
          <t>월 판매 수량 입력 → 메뉴별 총 조리시간 자동 합산
필요 인원 자동 계산 (총시간 ÷ 월 근무시간)
파트타임/풀타임 전환 기준 안내
판매량 10% / 20% / 50% 증감 시뮬레이션
매출 대비 인건비 비율 자동 계산</t>
        </is>
      </c>
      <c r="D10" s="4" t="inlineStr">
        <is>
          <t>monthly_sales, menus, labor_settings</t>
        </is>
      </c>
      <c r="E10" s="4" t="inlineStr">
        <is>
          <t>인건비 계산 완료</t>
        </is>
      </c>
      <c r="F10" s="5" t="inlineStr">
        <is>
          <t>3차-②</t>
        </is>
      </c>
      <c r="G10" s="8" t="inlineStr">
        <is>
          <t>★★★☆☆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35" customWidth="1" min="3" max="3"/>
    <col width="25" customWidth="1" min="4" max="4"/>
    <col width="20" customWidth="1" min="5" max="5"/>
  </cols>
  <sheetData>
    <row r="1" ht="32" customHeight="1">
      <c r="A1" s="1" t="inlineStr">
        <is>
          <t>Supabase DB 스키마 설계 (권고안)</t>
        </is>
      </c>
    </row>
    <row r="2" ht="22" customHeight="1">
      <c r="A2" s="2" t="inlineStr">
        <is>
          <t>테이블명</t>
        </is>
      </c>
      <c r="B2" s="2" t="inlineStr">
        <is>
          <t>주요 컬럼</t>
        </is>
      </c>
      <c r="C2" s="2" t="inlineStr">
        <is>
          <t>설명</t>
        </is>
      </c>
      <c r="D2" s="2" t="inlineStr">
        <is>
          <t>RLS 정책</t>
        </is>
      </c>
      <c r="E2" s="2" t="inlineStr">
        <is>
          <t>연관 기능</t>
        </is>
      </c>
    </row>
    <row r="3" ht="42" customHeight="1">
      <c r="A3" s="11" t="inlineStr">
        <is>
          <t>users</t>
        </is>
      </c>
      <c r="B3" s="4" t="inlineStr">
        <is>
          <t>id (uuid PK), email, restaurant_name, plan, created_at</t>
        </is>
      </c>
      <c r="C3" s="4" t="inlineStr">
        <is>
          <t>Supabase Auth 연동. 식당별 데이터 격리 기준</t>
        </is>
      </c>
      <c r="D3" s="12" t="inlineStr">
        <is>
          <t>auth.uid() = id</t>
        </is>
      </c>
      <c r="E3" s="4" t="inlineStr">
        <is>
          <t>전체</t>
        </is>
      </c>
    </row>
    <row r="4" ht="42" customHeight="1">
      <c r="A4" s="11" t="inlineStr">
        <is>
          <t>ingredients</t>
        </is>
      </c>
      <c r="B4" s="4" t="inlineStr">
        <is>
          <t>id, user_id (FK), name, vendor, unit, weight, price, per_unit, waste_rate, created_at</t>
        </is>
      </c>
      <c r="C4" s="4" t="inlineStr">
        <is>
          <t>식재료 마스터. waste_rate = 폐기율(소수점)</t>
        </is>
      </c>
      <c r="D4" s="12" t="inlineStr">
        <is>
          <t>user_id = auth.uid()</t>
        </is>
      </c>
      <c r="E4" s="4" t="inlineStr">
        <is>
          <t>식재료·폐기율</t>
        </is>
      </c>
    </row>
    <row r="5" ht="42" customHeight="1">
      <c r="A5" s="11" t="inlineStr">
        <is>
          <t>compounds</t>
        </is>
      </c>
      <c r="B5" s="4" t="inlineStr">
        <is>
          <t>id, user_id, name, items (JSONB), cost_per_unit, parent_id (nullable FK→self)</t>
        </is>
      </c>
      <c r="C5" s="4" t="inlineStr">
        <is>
          <t>자체제조. parent_id로 중첩 구조 지원 (재귀 쿼리)</t>
        </is>
      </c>
      <c r="D5" s="12" t="inlineStr">
        <is>
          <t>user_id = auth.uid()</t>
        </is>
      </c>
      <c r="E5" s="4" t="inlineStr">
        <is>
          <t>자체제조 중첩</t>
        </is>
      </c>
    </row>
    <row r="6" ht="42" customHeight="1">
      <c r="A6" s="11" t="inlineStr">
        <is>
          <t>menus</t>
        </is>
      </c>
      <c r="B6" s="4" t="inlineStr">
        <is>
          <t>id, user_id, name, channel, price, recipe (JSONB), cook_time (int), created_at</t>
        </is>
      </c>
      <c r="C6" s="4" t="inlineStr">
        <is>
          <t>메뉴 레시피. cook_time = 조리시간(분)</t>
        </is>
      </c>
      <c r="D6" s="12" t="inlineStr">
        <is>
          <t>user_id = auth.uid()</t>
        </is>
      </c>
      <c r="E6" s="4" t="inlineStr">
        <is>
          <t>메뉴·인건비</t>
        </is>
      </c>
    </row>
    <row r="7" ht="42" customHeight="1">
      <c r="A7" s="11" t="inlineStr">
        <is>
          <t>menu_sides</t>
        </is>
      </c>
      <c r="B7" s="4" t="inlineStr">
        <is>
          <t>id, menu_id (FK), name, refill_type (enum), refill_count, cost</t>
        </is>
      </c>
      <c r="C7" s="4" t="inlineStr">
        <is>
          <t>메뉴별 부재료/소스. refill_type: once/request/unlimited</t>
        </is>
      </c>
      <c r="D7" s="12" t="inlineStr">
        <is>
          <t>via menus.user_id</t>
        </is>
      </c>
      <c r="E7" s="4" t="inlineStr">
        <is>
          <t>부재료/소스 섹션</t>
        </is>
      </c>
    </row>
    <row r="8" ht="42" customHeight="1">
      <c r="A8" s="11" t="inlineStr">
        <is>
          <t>price_history</t>
        </is>
      </c>
      <c r="B8" s="4" t="inlineStr">
        <is>
          <t>id, user_id, ingredient_id (FK), date, vendor, price, per_unit</t>
        </is>
      </c>
      <c r="C8" s="4" t="inlineStr">
        <is>
          <t>납품가 이력. 날짜별 단가 변동 추적</t>
        </is>
      </c>
      <c r="D8" s="12" t="inlineStr">
        <is>
          <t>user_id = auth.uid()</t>
        </is>
      </c>
      <c r="E8" s="4" t="inlineStr">
        <is>
          <t>단가관리·시즌분석</t>
        </is>
      </c>
    </row>
    <row r="9" ht="42" customHeight="1">
      <c r="A9" s="11" t="inlineStr">
        <is>
          <t>base_prices</t>
        </is>
      </c>
      <c r="B9" s="4" t="inlineStr">
        <is>
          <t>id, ingredient_id (FK), label, price, date, vendor, memo, is_active (bool)</t>
        </is>
      </c>
      <c r="C9" s="4" t="inlineStr">
        <is>
          <t>기준 원가. is_active = 현재 활성 기준 여부</t>
        </is>
      </c>
      <c r="D9" s="12" t="inlineStr">
        <is>
          <t>via ingredients.user_id</t>
        </is>
      </c>
      <c r="E9" s="4" t="inlineStr">
        <is>
          <t>기준 원가 탭</t>
        </is>
      </c>
    </row>
    <row r="10" ht="42" customHeight="1">
      <c r="A10" s="11" t="inlineStr">
        <is>
          <t>waste_rates</t>
        </is>
      </c>
      <c r="B10" s="4" t="inlineStr">
        <is>
          <t>id, ingredient_id (FK), method (1/2/3), rate, measured_at, note</t>
        </is>
      </c>
      <c r="C10" s="4" t="inlineStr">
        <is>
          <t>폐기율 기록. method: 1=직접입력 2=역산 3=업종평균</t>
        </is>
      </c>
      <c r="D10" s="12" t="inlineStr">
        <is>
          <t>via ingredients.user_id</t>
        </is>
      </c>
      <c r="E10" s="4" t="inlineStr">
        <is>
          <t>폐기율 계산</t>
        </is>
      </c>
    </row>
    <row r="11" ht="42" customHeight="1">
      <c r="A11" s="11" t="inlineStr">
        <is>
          <t>monthly_sales</t>
        </is>
      </c>
      <c r="B11" s="4" t="inlineStr">
        <is>
          <t>id, user_id, year_month (char6), hall_sales, delivery_sales, labor_cost, menu_counts (JSONB)</t>
        </is>
      </c>
      <c r="C11" s="4" t="inlineStr">
        <is>
          <t>월 매출 집계. menu_counts = {메뉴id: 판매수량}</t>
        </is>
      </c>
      <c r="D11" s="12" t="inlineStr">
        <is>
          <t>user_id = auth.uid()</t>
        </is>
      </c>
      <c r="E11" s="4" t="inlineStr">
        <is>
          <t>매출분석·인건비</t>
        </is>
      </c>
    </row>
    <row r="12" ht="42" customHeight="1">
      <c r="A12" s="11" t="inlineStr">
        <is>
          <t>labor_settings</t>
        </is>
      </c>
      <c r="B12" s="4" t="inlineStr">
        <is>
          <t>id, user_id, min_wage, work_hours_monthly, year</t>
        </is>
      </c>
      <c r="C12" s="4" t="inlineStr">
        <is>
          <t>최저시급 설정. 연도별로 관리</t>
        </is>
      </c>
      <c r="D12" s="12" t="inlineStr">
        <is>
          <t>user_id = auth.uid()</t>
        </is>
      </c>
      <c r="E12" s="4" t="inlineStr">
        <is>
          <t>인건비 계산</t>
        </is>
      </c>
    </row>
    <row r="13" ht="42" customHeight="1">
      <c r="A13" s="11" t="inlineStr">
        <is>
          <t>side_dishes</t>
        </is>
      </c>
      <c r="B13" s="4" t="inlineStr">
        <is>
          <t>id, user_id, name, cost, refill_type, items (JSONB)</t>
        </is>
      </c>
      <c r="C13" s="4" t="inlineStr">
        <is>
          <t>전체 공통 밑반찬. 기존 밑반찬 탭 데이터</t>
        </is>
      </c>
      <c r="D13" s="12" t="inlineStr">
        <is>
          <t>user_id = auth.uid()</t>
        </is>
      </c>
      <c r="E13" s="4" t="inlineStr">
        <is>
          <t>밑반찬</t>
        </is>
      </c>
    </row>
    <row r="14" ht="42" customHeight="1">
      <c r="A14" s="11" t="inlineStr">
        <is>
          <t>consumables</t>
        </is>
      </c>
      <c r="B14" s="4" t="inlineStr">
        <is>
          <t>id, user_id, name, channel, cost_per_serving, method</t>
        </is>
      </c>
      <c r="C14" s="4" t="inlineStr">
        <is>
          <t>소모품. channel: hall/delivery/both</t>
        </is>
      </c>
      <c r="D14" s="12" t="inlineStr">
        <is>
          <t>user_id = auth.uid()</t>
        </is>
      </c>
      <c r="E14" s="4" t="inlineStr">
        <is>
          <t>소모품</t>
        </is>
      </c>
    </row>
    <row r="15" ht="42" customHeight="1">
      <c r="A15" s="11" t="inlineStr">
        <is>
          <t>liquors</t>
        </is>
      </c>
      <c r="B15" s="4" t="inlineStr">
        <is>
          <t>id, user_id, name, vendor, unit, volume_ml, purchase_price, sale_price</t>
        </is>
      </c>
      <c r="C15" s="4" t="inlineStr">
        <is>
          <t>주류. volume_ml 기준 ml당 원가 계산</t>
        </is>
      </c>
      <c r="D15" s="12" t="inlineStr">
        <is>
          <t>user_id = auth.uid()</t>
        </is>
      </c>
      <c r="E15" s="4" t="inlineStr">
        <is>
          <t>주류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0" customWidth="1" min="4" max="4"/>
    <col width="22" customWidth="1" min="5" max="5"/>
    <col width="25" customWidth="1" min="6" max="6"/>
    <col width="28" customWidth="1" min="7" max="7"/>
  </cols>
  <sheetData>
    <row r="1" ht="32" customHeight="1">
      <c r="A1" s="1" t="inlineStr">
        <is>
          <t>단계별 개발 로드맵 — 요식업 원가계산기 SaaS</t>
        </is>
      </c>
    </row>
    <row r="2" ht="22" customHeight="1">
      <c r="A2" s="2" t="inlineStr">
        <is>
          <t>단계</t>
        </is>
      </c>
      <c r="B2" s="2" t="inlineStr">
        <is>
          <t>시기</t>
        </is>
      </c>
      <c r="C2" s="2" t="inlineStr">
        <is>
          <t>핵심 목표</t>
        </is>
      </c>
      <c r="D2" s="2" t="inlineStr">
        <is>
          <t>주요 작업</t>
        </is>
      </c>
      <c r="E2" s="2" t="inlineStr">
        <is>
          <t>기술 스택</t>
        </is>
      </c>
      <c r="F2" s="2" t="inlineStr">
        <is>
          <t>완료 기준</t>
        </is>
      </c>
      <c r="G2" s="2" t="inlineStr">
        <is>
          <t>주의사항</t>
        </is>
      </c>
    </row>
    <row r="3" ht="80" customHeight="1">
      <c r="A3" s="7" t="inlineStr">
        <is>
          <t>0단계</t>
        </is>
      </c>
      <c r="B3" s="7" t="inlineStr">
        <is>
          <t>지금 ~ 1주</t>
        </is>
      </c>
      <c r="C3" s="7" t="inlineStr">
        <is>
          <t>데이터 구조 확립</t>
        </is>
      </c>
      <c r="D3" s="4" t="inlineStr">
        <is>
          <t>① Supabase 프로젝트 생성
② 위 스키마 테이블 전체 생성
③ RLS 정책 설정 (user_id = auth.uid())
④ localStorage → Supabase 마이그레이션 스크립트</t>
        </is>
      </c>
      <c r="E3" s="4" t="inlineStr">
        <is>
          <t>Supabase
HTML/JS</t>
        </is>
      </c>
      <c r="F3" s="4" t="inlineStr">
        <is>
          <t>기존 데이터가 Supabase에 정상 저장·조회됨</t>
        </is>
      </c>
      <c r="G3" s="4" t="inlineStr">
        <is>
          <t>⚠️ RLS 처음부터 필수
나중에 고치면 마이그레이션 고통</t>
        </is>
      </c>
    </row>
    <row r="4" ht="80" customHeight="1">
      <c r="A4" s="8" t="inlineStr">
        <is>
          <t>1단계</t>
        </is>
      </c>
      <c r="B4" s="8" t="inlineStr">
        <is>
          <t>1~3주</t>
        </is>
      </c>
      <c r="C4" s="8" t="inlineStr">
        <is>
          <t>MVP 완성</t>
        </is>
      </c>
      <c r="D4" s="4" t="inlineStr">
        <is>
          <t>① 자체제조 중첩 레시피 (순환참조 방지)
② 메뉴 부재료/소스 섹션 추가
③ 기준 원가 탭 구현
④ Supabase Auth 로그인 구현</t>
        </is>
      </c>
      <c r="E4" s="4" t="inlineStr">
        <is>
          <t>Supabase Auth
+ PostgreSQL</t>
        </is>
      </c>
      <c r="F4" s="4" t="inlineStr">
        <is>
          <t>다른 기기에서 로그인 후 동일 데이터 확인 가능</t>
        </is>
      </c>
      <c r="G4" s="4" t="inlineStr">
        <is>
          <t>⚠️ 한 번에 다 구현 X
순서대로 테스트하며 진행</t>
        </is>
      </c>
    </row>
    <row r="5" ht="80" customHeight="1">
      <c r="A5" s="8" t="inlineStr">
        <is>
          <t>2단계</t>
        </is>
      </c>
      <c r="B5" s="8" t="inlineStr">
        <is>
          <t>3~5주</t>
        </is>
      </c>
      <c r="C5" s="8" t="inlineStr">
        <is>
          <t>분석 고도화</t>
        </is>
      </c>
      <c r="D5" s="4" t="inlineStr">
        <is>
          <t>① 폐기율 계산 (3가지 방법)
② 시즌 분석 탭 (Chart.js 바 차트)
③ 업체별 평균 세분화
④ 카드 수수료 항목 추가</t>
        </is>
      </c>
      <c r="E5" s="4" t="inlineStr">
        <is>
          <t>Supabase
+ Chart.js</t>
        </is>
      </c>
      <c r="F5" s="4" t="inlineStr">
        <is>
          <t>기준 원가 대비 단가 변동 차트 정상 표시</t>
        </is>
      </c>
      <c r="G5" s="4" t="inlineStr">
        <is>
          <t>Chart.js 도입 전
기존 차트 구조 확인</t>
        </is>
      </c>
    </row>
    <row r="6" ht="80" customHeight="1">
      <c r="A6" s="5" t="inlineStr">
        <is>
          <t>3단계</t>
        </is>
      </c>
      <c r="B6" s="5" t="inlineStr">
        <is>
          <t>5~8주</t>
        </is>
      </c>
      <c r="C6" s="5" t="inlineStr">
        <is>
          <t>인건비 분석</t>
        </is>
      </c>
      <c r="D6" s="4" t="inlineStr">
        <is>
          <t>① 레시피 조리시간 추가
② 인건비 자동 계산 (시급÷60×시간)
③ 인원 관리 시뮬레이션
④ 원가 항목 ON/OFF 토글 대시보드</t>
        </is>
      </c>
      <c r="E6" s="4" t="inlineStr">
        <is>
          <t>Supabase
+ Edge Functions (선택)</t>
        </is>
      </c>
      <c r="F6" s="4" t="inlineStr">
        <is>
          <t>판매량 입력 시 필요 인원 자동 산출</t>
        </is>
      </c>
      <c r="G6" s="4" t="inlineStr">
        <is>
          <t>인건비 포함/미포함
동시 표시 UI 설계 먼저</t>
        </is>
      </c>
    </row>
    <row r="7" ht="80" customHeight="1">
      <c r="A7" s="9" t="inlineStr">
        <is>
          <t>4단계</t>
        </is>
      </c>
      <c r="B7" s="9" t="inlineStr">
        <is>
          <t>2~3개월</t>
        </is>
      </c>
      <c r="C7" s="9" t="inlineStr">
        <is>
          <t>수익화 준비</t>
        </is>
      </c>
      <c r="D7" s="4" t="inlineStr">
        <is>
          <t>① 납품서 OCR 연동
② 단가 자동 입력 파이프라인
③ 베타 사용자 모집 (식당 5~10곳)
④ 유료 플랜 설계 (Free/Pro/Business)</t>
        </is>
      </c>
      <c r="E7" s="4" t="inlineStr">
        <is>
          <t>OCR API
+ Edge Functions</t>
        </is>
      </c>
      <c r="F7" s="4" t="inlineStr">
        <is>
          <t>베타 사용자 피드백 수집 완료</t>
        </is>
      </c>
      <c r="G7" s="4" t="inlineStr">
        <is>
          <t>OCR 정확도 검증 필수
수작업 보정 UI도 준비</t>
        </is>
      </c>
    </row>
    <row r="8" ht="80" customHeight="1">
      <c r="A8" s="6" t="inlineStr">
        <is>
          <t>5단계</t>
        </is>
      </c>
      <c r="B8" s="6" t="inlineStr">
        <is>
          <t>3개월+</t>
        </is>
      </c>
      <c r="C8" s="6" t="inlineStr">
        <is>
          <t>SaaS 확장</t>
        </is>
      </c>
      <c r="D8" s="4" t="inlineStr">
        <is>
          <t>① Node.js 백엔드 분리
② 다중 매장 지원
③ 공급업체 연동 API
④ 모바일 앱 검토</t>
        </is>
      </c>
      <c r="E8" s="4" t="inlineStr">
        <is>
          <t>Node.js
+ PostgreSQL</t>
        </is>
      </c>
      <c r="F8" s="4" t="inlineStr">
        <is>
          <t>유료 구독 사용자 10명+</t>
        </is>
      </c>
      <c r="G8" s="4" t="inlineStr">
        <is>
          <t>5단계 이전에
수익화 검증 필수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 ht="32" customHeight="1">
      <c r="A1" s="1" t="inlineStr">
        <is>
          <t>인건비 계산 설계 — 레시피 기반 메뉴당 자동 계산</t>
        </is>
      </c>
    </row>
    <row r="2" ht="22" customHeight="1">
      <c r="A2" s="2" t="inlineStr">
        <is>
          <t>구분</t>
        </is>
      </c>
      <c r="B2" s="2" t="inlineStr">
        <is>
          <t>항목</t>
        </is>
      </c>
      <c r="C2" s="2" t="inlineStr">
        <is>
          <t>값/공식</t>
        </is>
      </c>
      <c r="D2" s="2" t="inlineStr">
        <is>
          <t>설명</t>
        </is>
      </c>
    </row>
    <row r="3" ht="28" customHeight="1">
      <c r="A3" s="11" t="inlineStr">
        <is>
          <t>설정값</t>
        </is>
      </c>
      <c r="B3" s="13" t="inlineStr">
        <is>
          <t>최저시급</t>
        </is>
      </c>
      <c r="C3" s="14" t="n">
        <v>10030</v>
      </c>
      <c r="D3" s="14" t="inlineStr">
        <is>
          <t>원/시간 (2025년 기준, 연도별 업데이트)</t>
        </is>
      </c>
    </row>
    <row r="4" ht="28" customHeight="1">
      <c r="A4" s="10" t="inlineStr">
        <is>
          <t>설정값</t>
        </is>
      </c>
      <c r="B4" s="15" t="inlineStr">
        <is>
          <t>시급 ÷ 60</t>
        </is>
      </c>
      <c r="C4" s="4">
        <f>C3/60</f>
        <v/>
      </c>
      <c r="D4" s="4" t="inlineStr">
        <is>
          <t>원/분 (약 167원/분)</t>
        </is>
      </c>
    </row>
    <row r="5" ht="28" customHeight="1">
      <c r="A5" s="10" t="inlineStr">
        <is>
          <t>계산식</t>
        </is>
      </c>
      <c r="B5" s="15" t="inlineStr">
        <is>
          <t>메뉴당 인건비</t>
        </is>
      </c>
      <c r="C5" s="4" t="inlineStr">
        <is>
          <t>시급/분 × 조리시간(분)</t>
        </is>
      </c>
      <c r="D5" s="4" t="inlineStr">
        <is>
          <t>레시피에 조리시간만 입력하면 자동계산</t>
        </is>
      </c>
    </row>
    <row r="7" ht="24" customHeight="1">
      <c r="A7" s="16" t="inlineStr">
        <is>
          <t>▶ 샘플 메뉴별 인건비 계산 예시</t>
        </is>
      </c>
    </row>
    <row r="8" ht="22" customHeight="1">
      <c r="A8" s="2" t="inlineStr">
        <is>
          <t>메뉴명</t>
        </is>
      </c>
      <c r="B8" s="2" t="inlineStr">
        <is>
          <t>판매가(원)</t>
        </is>
      </c>
      <c r="C8" s="2" t="inlineStr">
        <is>
          <t>조리시간(분)</t>
        </is>
      </c>
      <c r="D8" s="2" t="inlineStr">
        <is>
          <t>메뉴당 인건비(원)</t>
        </is>
      </c>
      <c r="E8" s="2" t="inlineStr">
        <is>
          <t>식재료 원가율(%)</t>
        </is>
      </c>
      <c r="F8" s="2" t="inlineStr">
        <is>
          <t>인건비 포함 원가율(%)</t>
        </is>
      </c>
    </row>
    <row r="9" ht="28" customHeight="1">
      <c r="A9" s="10" t="inlineStr">
        <is>
          <t>삼겹살 1인분</t>
        </is>
      </c>
      <c r="B9" s="17" t="n">
        <v>18000</v>
      </c>
      <c r="C9" s="17" t="n">
        <v>5</v>
      </c>
      <c r="D9" s="8" t="n">
        <v>836</v>
      </c>
      <c r="E9" s="18" t="inlineStr">
        <is>
          <t>입력 필요</t>
        </is>
      </c>
      <c r="F9" s="12">
        <f>E9+(D9/B9*100)</f>
        <v/>
      </c>
    </row>
    <row r="10" ht="28" customHeight="1">
      <c r="A10" s="10" t="inlineStr">
        <is>
          <t>된장찌개</t>
        </is>
      </c>
      <c r="B10" s="17" t="n">
        <v>9000</v>
      </c>
      <c r="C10" s="17" t="n">
        <v>15</v>
      </c>
      <c r="D10" s="8" t="n">
        <v>2508</v>
      </c>
      <c r="E10" s="18" t="inlineStr">
        <is>
          <t>입력 필요</t>
        </is>
      </c>
      <c r="F10" s="12">
        <f>E10+(D10/B10*100)</f>
        <v/>
      </c>
    </row>
    <row r="11" ht="28" customHeight="1">
      <c r="A11" s="10" t="inlineStr">
        <is>
          <t>양념치킨</t>
        </is>
      </c>
      <c r="B11" s="17" t="n">
        <v>20000</v>
      </c>
      <c r="C11" s="17" t="n">
        <v>20</v>
      </c>
      <c r="D11" s="8" t="n">
        <v>3343</v>
      </c>
      <c r="E11" s="18" t="inlineStr">
        <is>
          <t>입력 필요</t>
        </is>
      </c>
      <c r="F11" s="12">
        <f>E11+(D11/B11*100)</f>
        <v/>
      </c>
    </row>
    <row r="12" ht="28" customHeight="1">
      <c r="A12" s="10" t="inlineStr">
        <is>
          <t>냉면</t>
        </is>
      </c>
      <c r="B12" s="17" t="n">
        <v>12000</v>
      </c>
      <c r="C12" s="17" t="n">
        <v>8</v>
      </c>
      <c r="D12" s="8" t="n">
        <v>1337</v>
      </c>
      <c r="E12" s="18" t="inlineStr">
        <is>
          <t>입력 필요</t>
        </is>
      </c>
      <c r="F12" s="12">
        <f>E12+(D12/B12*100)</f>
        <v/>
      </c>
    </row>
    <row r="13" ht="28" customHeight="1">
      <c r="A13" s="10" t="inlineStr">
        <is>
          <t>돌솥비빔밥</t>
        </is>
      </c>
      <c r="B13" s="17" t="n">
        <v>11000</v>
      </c>
      <c r="C13" s="17" t="n">
        <v>12</v>
      </c>
      <c r="D13" s="8" t="n">
        <v>2006</v>
      </c>
      <c r="E13" s="18" t="inlineStr">
        <is>
          <t>입력 필요</t>
        </is>
      </c>
      <c r="F13" s="12">
        <f>E13+(D13/B13*100)</f>
        <v/>
      </c>
    </row>
    <row r="16" ht="24" customHeight="1">
      <c r="A16" s="16" t="inlineStr">
        <is>
          <t>▶ 인원 관리 시뮬레이션 예시 (월 기준)</t>
        </is>
      </c>
    </row>
    <row r="17" ht="22" customHeight="1">
      <c r="A17" s="2" t="inlineStr">
        <is>
          <t>시나리오</t>
        </is>
      </c>
      <c r="B17" s="2" t="inlineStr">
        <is>
          <t>총 조리시간(분/월)</t>
        </is>
      </c>
      <c r="C17" s="2" t="inlineStr">
        <is>
          <t>월 근무시간(분)</t>
        </is>
      </c>
      <c r="D17" s="2" t="inlineStr">
        <is>
          <t>필요 인원(명)</t>
        </is>
      </c>
      <c r="E17" s="2" t="inlineStr">
        <is>
          <t>예상 인건비(원)</t>
        </is>
      </c>
      <c r="F17" s="2" t="inlineStr">
        <is>
          <t>판단</t>
        </is>
      </c>
    </row>
    <row r="18" ht="28" customHeight="1">
      <c r="A18" s="19" t="inlineStr">
        <is>
          <t>현재 판매량</t>
        </is>
      </c>
      <c r="B18" s="17" t="n">
        <v>5750</v>
      </c>
      <c r="C18" s="17" t="n">
        <v>9600</v>
      </c>
      <c r="D18" s="9">
        <f>B18/C18</f>
        <v/>
      </c>
      <c r="E18" s="17">
        <f>ROUND(B18*10030/60,0)</f>
        <v/>
      </c>
      <c r="F18" s="17" t="inlineStr">
        <is>
          <t>0.6명 → 파트타임 1명 권장</t>
        </is>
      </c>
    </row>
    <row r="19" ht="28" customHeight="1">
      <c r="A19" s="20" t="inlineStr">
        <is>
          <t>판매량 +20%</t>
        </is>
      </c>
      <c r="B19" s="17">
        <f>B18*1.2</f>
        <v/>
      </c>
      <c r="C19" s="17" t="n">
        <v>9600</v>
      </c>
      <c r="D19" s="5">
        <f>B19/C19</f>
        <v/>
      </c>
      <c r="E19" s="17">
        <f>ROUND(B19*10030/60,0)</f>
        <v/>
      </c>
      <c r="F19" s="17" t="inlineStr">
        <is>
          <t>0.72명 → 파트타임 1명 유지</t>
        </is>
      </c>
    </row>
    <row r="20" ht="28" customHeight="1">
      <c r="A20" s="21" t="inlineStr">
        <is>
          <t>판매량 +50%</t>
        </is>
      </c>
      <c r="B20" s="17">
        <f>B18*1.5</f>
        <v/>
      </c>
      <c r="C20" s="17" t="n">
        <v>9600</v>
      </c>
      <c r="D20" s="8">
        <f>B20/C20</f>
        <v/>
      </c>
      <c r="E20" s="17">
        <f>ROUND(B20*10030/60,0)</f>
        <v/>
      </c>
      <c r="F20" s="17" t="inlineStr">
        <is>
          <t>0.90명 → 풀타임 전환 검토</t>
        </is>
      </c>
    </row>
    <row r="21" ht="28" customHeight="1">
      <c r="A21" s="22" t="inlineStr">
        <is>
          <t>판매량 +100%</t>
        </is>
      </c>
      <c r="B21" s="17">
        <f>B18*2</f>
        <v/>
      </c>
      <c r="C21" s="17" t="n">
        <v>9600</v>
      </c>
      <c r="D21" s="7">
        <f>B21/C21</f>
        <v/>
      </c>
      <c r="E21" s="17">
        <f>ROUND(B21*10030/60,0)</f>
        <v/>
      </c>
      <c r="F21" s="17" t="inlineStr">
        <is>
          <t>1.20명 → 추가 인력 필요</t>
        </is>
      </c>
    </row>
  </sheetData>
  <mergeCells count="3">
    <mergeCell ref="A16:F16"/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2026-03-25T02:47:34Z</dcterms:created>
  <dcterms:modified xmlns:dcterms="http://purl.org/dc/terms/" xmlns:xsi="http://www.w3.org/2001/XMLSchema-instance" xsi:type="dcterms:W3CDTF">2026-03-25T02:47:34Z</dcterms:modified>
</cp:coreProperties>
</file>