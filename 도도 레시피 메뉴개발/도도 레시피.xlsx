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110M-K\Desktop\"/>
    </mc:Choice>
  </mc:AlternateContent>
  <xr:revisionPtr revIDLastSave="0" documentId="13_ncr:1_{1AA1366F-623D-400B-87A3-C7E973A0F9A9}" xr6:coauthVersionLast="47" xr6:coauthVersionMax="47" xr10:uidLastSave="{00000000-0000-0000-0000-000000000000}"/>
  <bookViews>
    <workbookView xWindow="-120" yWindow="-120" windowWidth="29040" windowHeight="15840" activeTab="1" xr2:uid="{F0209774-91B3-4D5F-AD71-A46B517EFFFB}"/>
  </bookViews>
  <sheets>
    <sheet name="계량" sheetId="2" r:id="rId1"/>
    <sheet name="사전 세팅" sheetId="12" r:id="rId2"/>
    <sheet name="크리스피수육" sheetId="7" r:id="rId3"/>
    <sheet name="명란 파스타" sheetId="9" r:id="rId4"/>
    <sheet name="마라닭발 튀김" sheetId="11" r:id="rId5"/>
    <sheet name="봉골래조개탕" sheetId="8" r:id="rId6"/>
    <sheet name="차돌버섯전골" sheetId="5" r:id="rId7"/>
    <sheet name="감바스바게트" sheetId="6" r:id="rId8"/>
    <sheet name="브리스킷 버거" sheetId="3" r:id="rId9"/>
    <sheet name="마체도니아" sheetId="4" r:id="rId10"/>
    <sheet name="유린기" sheetId="14" r:id="rId11"/>
    <sheet name="차돌로제떡볶이" sheetId="15" r:id="rId12"/>
    <sheet name="낙지비빔파스타" sheetId="16" r:id="rId13"/>
    <sheet name="키토김밥" sheetId="17" r:id="rId14"/>
    <sheet name="토마토파스타" sheetId="27" r:id="rId15"/>
    <sheet name="Sheet15" sheetId="28" r:id="rId16"/>
    <sheet name="차슈 간장파스타" sheetId="29" r:id="rId17"/>
    <sheet name="물육회" sheetId="18" r:id="rId18"/>
    <sheet name="육회비빔밥" sheetId="19" r:id="rId19"/>
    <sheet name="고추장육회" sheetId="20" r:id="rId20"/>
    <sheet name="연어사시미" sheetId="21" r:id="rId21"/>
    <sheet name="연어사케동" sheetId="22" r:id="rId22"/>
    <sheet name="연어스테이크덮밥" sheetId="23" r:id="rId23"/>
    <sheet name="닭껍질튀김" sheetId="24" r:id="rId24"/>
    <sheet name="두부김치" sheetId="25" r:id="rId25"/>
    <sheet name="김치전" sheetId="26" r:id="rId26"/>
    <sheet name="재료정리" sheetId="10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9" l="1"/>
  <c r="G4" i="29"/>
  <c r="G5" i="29"/>
  <c r="G6" i="29"/>
  <c r="G2" i="29"/>
  <c r="G16" i="29"/>
  <c r="C13" i="29"/>
  <c r="C14" i="29"/>
  <c r="C15" i="29"/>
  <c r="C12" i="29"/>
  <c r="G23" i="29"/>
  <c r="G24" i="29"/>
  <c r="G25" i="29"/>
  <c r="G26" i="29"/>
  <c r="G27" i="29"/>
  <c r="G28" i="29"/>
  <c r="G29" i="29"/>
  <c r="G30" i="29"/>
  <c r="G31" i="29"/>
  <c r="G22" i="29"/>
  <c r="C21" i="29"/>
  <c r="C11" i="29"/>
  <c r="G13" i="29"/>
  <c r="G14" i="29"/>
  <c r="G15" i="29"/>
  <c r="G17" i="29"/>
  <c r="G12" i="29"/>
  <c r="I21" i="2"/>
  <c r="I19" i="2"/>
  <c r="I18" i="2"/>
  <c r="I14" i="2"/>
  <c r="I8" i="2"/>
  <c r="I9" i="2"/>
  <c r="I7" i="2"/>
  <c r="I4" i="2"/>
  <c r="I5" i="2"/>
  <c r="D18" i="2"/>
  <c r="D19" i="2"/>
  <c r="D20" i="2"/>
  <c r="D21" i="2"/>
  <c r="D22" i="2"/>
  <c r="D24" i="2"/>
  <c r="D25" i="2"/>
  <c r="D26" i="2"/>
  <c r="D27" i="2"/>
  <c r="D17" i="2"/>
  <c r="D12" i="2"/>
  <c r="D13" i="2"/>
  <c r="D14" i="2"/>
  <c r="D15" i="2"/>
  <c r="D3" i="2"/>
  <c r="D4" i="2"/>
  <c r="D5" i="2"/>
  <c r="D6" i="2"/>
  <c r="D8" i="2"/>
</calcChain>
</file>

<file path=xl/sharedStrings.xml><?xml version="1.0" encoding="utf-8"?>
<sst xmlns="http://schemas.openxmlformats.org/spreadsheetml/2006/main" count="1231" uniqueCount="454">
  <si>
    <t>마늘퓨레</t>
    <phoneticPr fontId="1" type="noConversion"/>
  </si>
  <si>
    <t>파스타면</t>
    <phoneticPr fontId="1" type="noConversion"/>
  </si>
  <si>
    <t>명란소스</t>
    <phoneticPr fontId="1" type="noConversion"/>
  </si>
  <si>
    <t>베이컨칩</t>
    <phoneticPr fontId="1" type="noConversion"/>
  </si>
  <si>
    <t>처음무게(g)</t>
    <phoneticPr fontId="1" type="noConversion"/>
  </si>
  <si>
    <t>나중무게(g)</t>
    <phoneticPr fontId="1" type="noConversion"/>
  </si>
  <si>
    <t>파르메지아노</t>
    <phoneticPr fontId="1" type="noConversion"/>
  </si>
  <si>
    <t>명란파스타</t>
    <phoneticPr fontId="1" type="noConversion"/>
  </si>
  <si>
    <t>동죽조개탕</t>
    <phoneticPr fontId="1" type="noConversion"/>
  </si>
  <si>
    <t xml:space="preserve">동죽조개 </t>
    <phoneticPr fontId="1" type="noConversion"/>
  </si>
  <si>
    <t>사용무게(g)</t>
    <phoneticPr fontId="1" type="noConversion"/>
  </si>
  <si>
    <t>다진마늘</t>
    <phoneticPr fontId="1" type="noConversion"/>
  </si>
  <si>
    <t>홍고추</t>
    <phoneticPr fontId="1" type="noConversion"/>
  </si>
  <si>
    <t>청양고추</t>
    <phoneticPr fontId="1" type="noConversion"/>
  </si>
  <si>
    <t>올리브오일</t>
    <phoneticPr fontId="1" type="noConversion"/>
  </si>
  <si>
    <t>삼겹살</t>
    <phoneticPr fontId="1" type="noConversion"/>
  </si>
  <si>
    <t>쌈장소스</t>
    <phoneticPr fontId="1" type="noConversion"/>
  </si>
  <si>
    <t>마늘소스</t>
    <phoneticPr fontId="1" type="noConversion"/>
  </si>
  <si>
    <t>살사베르데</t>
    <phoneticPr fontId="1" type="noConversion"/>
  </si>
  <si>
    <t>누룽지</t>
    <phoneticPr fontId="1" type="noConversion"/>
  </si>
  <si>
    <t xml:space="preserve">마늘 </t>
    <phoneticPr fontId="1" type="noConversion"/>
  </si>
  <si>
    <t>로즈마리</t>
    <phoneticPr fontId="1" type="noConversion"/>
  </si>
  <si>
    <t>파우더</t>
    <phoneticPr fontId="1" type="noConversion"/>
  </si>
  <si>
    <t>치킨스톡</t>
    <phoneticPr fontId="1" type="noConversion"/>
  </si>
  <si>
    <t xml:space="preserve">쌈장 </t>
    <phoneticPr fontId="1" type="noConversion"/>
  </si>
  <si>
    <t>스리라차</t>
    <phoneticPr fontId="1" type="noConversion"/>
  </si>
  <si>
    <t>쪽파</t>
    <phoneticPr fontId="1" type="noConversion"/>
  </si>
  <si>
    <t>깻잎</t>
    <phoneticPr fontId="1" type="noConversion"/>
  </si>
  <si>
    <t>청양</t>
    <phoneticPr fontId="1" type="noConversion"/>
  </si>
  <si>
    <t>라임주스</t>
    <phoneticPr fontId="1" type="noConversion"/>
  </si>
  <si>
    <t>치킨파우더</t>
    <phoneticPr fontId="1" type="noConversion"/>
  </si>
  <si>
    <t>물</t>
    <phoneticPr fontId="1" type="noConversion"/>
  </si>
  <si>
    <t>누룽지크러스트</t>
    <phoneticPr fontId="1" type="noConversion"/>
  </si>
  <si>
    <t xml:space="preserve">누룽지 </t>
    <phoneticPr fontId="1" type="noConversion"/>
  </si>
  <si>
    <t>소금</t>
    <phoneticPr fontId="1" type="noConversion"/>
  </si>
  <si>
    <t>마늘가루</t>
    <phoneticPr fontId="1" type="noConversion"/>
  </si>
  <si>
    <t>크리스피삼겹</t>
    <phoneticPr fontId="1" type="noConversion"/>
  </si>
  <si>
    <t>통삼겹</t>
    <phoneticPr fontId="1" type="noConversion"/>
  </si>
  <si>
    <t>생강파우더</t>
    <phoneticPr fontId="1" type="noConversion"/>
  </si>
  <si>
    <t>마늘파우더</t>
    <phoneticPr fontId="1" type="noConversion"/>
  </si>
  <si>
    <t>후추</t>
    <phoneticPr fontId="1" type="noConversion"/>
  </si>
  <si>
    <t>마늘퓨레 93</t>
    <phoneticPr fontId="1" type="noConversion"/>
  </si>
  <si>
    <t>설탕</t>
    <phoneticPr fontId="1" type="noConversion"/>
  </si>
  <si>
    <t>마늘</t>
    <phoneticPr fontId="1" type="noConversion"/>
  </si>
  <si>
    <t>명란</t>
    <phoneticPr fontId="1" type="noConversion"/>
  </si>
  <si>
    <t>라임제스트 1개</t>
    <phoneticPr fontId="1" type="noConversion"/>
  </si>
  <si>
    <t>조개다시다</t>
    <phoneticPr fontId="1" type="noConversion"/>
  </si>
  <si>
    <t>크리스피 삼겹</t>
    <phoneticPr fontId="1" type="noConversion"/>
  </si>
  <si>
    <t>명란 파스타</t>
    <phoneticPr fontId="1" type="noConversion"/>
  </si>
  <si>
    <t>미니브리스킷버거</t>
    <phoneticPr fontId="1" type="noConversion"/>
  </si>
  <si>
    <t>마라닭발</t>
    <phoneticPr fontId="1" type="noConversion"/>
  </si>
  <si>
    <t>마체도니아</t>
    <phoneticPr fontId="1" type="noConversion"/>
  </si>
  <si>
    <t>미나리</t>
    <phoneticPr fontId="1" type="noConversion"/>
  </si>
  <si>
    <t>쌈장</t>
    <phoneticPr fontId="1" type="noConversion"/>
  </si>
  <si>
    <t>명란젓</t>
    <phoneticPr fontId="1" type="noConversion"/>
  </si>
  <si>
    <t>스파게티면</t>
    <phoneticPr fontId="1" type="noConversion"/>
  </si>
  <si>
    <t>타임</t>
    <phoneticPr fontId="1" type="noConversion"/>
  </si>
  <si>
    <t>베이컨</t>
    <phoneticPr fontId="1" type="noConversion"/>
  </si>
  <si>
    <t xml:space="preserve">동죽 </t>
    <phoneticPr fontId="1" type="noConversion"/>
  </si>
  <si>
    <t>베트남고추</t>
    <phoneticPr fontId="1" type="noConversion"/>
  </si>
  <si>
    <t>바질</t>
    <phoneticPr fontId="1" type="noConversion"/>
  </si>
  <si>
    <t>모닝빵</t>
    <phoneticPr fontId="1" type="noConversion"/>
  </si>
  <si>
    <t>버터</t>
    <phoneticPr fontId="1" type="noConversion"/>
  </si>
  <si>
    <t>소목심(척아이롤)</t>
    <phoneticPr fontId="1" type="noConversion"/>
  </si>
  <si>
    <t>바베큐소스</t>
    <phoneticPr fontId="1" type="noConversion"/>
  </si>
  <si>
    <t xml:space="preserve">차돌 </t>
    <phoneticPr fontId="1" type="noConversion"/>
  </si>
  <si>
    <t>동죽</t>
    <phoneticPr fontId="1" type="noConversion"/>
  </si>
  <si>
    <t>통후추</t>
    <phoneticPr fontId="1" type="noConversion"/>
  </si>
  <si>
    <t>고운고추가루</t>
    <phoneticPr fontId="1" type="noConversion"/>
  </si>
  <si>
    <t>진간장</t>
    <phoneticPr fontId="1" type="noConversion"/>
  </si>
  <si>
    <t>멸치액젓</t>
    <phoneticPr fontId="1" type="noConversion"/>
  </si>
  <si>
    <t>맛술</t>
    <phoneticPr fontId="1" type="noConversion"/>
  </si>
  <si>
    <t>참기름</t>
    <phoneticPr fontId="1" type="noConversion"/>
  </si>
  <si>
    <t>간생강</t>
    <phoneticPr fontId="1" type="noConversion"/>
  </si>
  <si>
    <t>맛소금</t>
    <phoneticPr fontId="1" type="noConversion"/>
  </si>
  <si>
    <t>냉동새우</t>
    <phoneticPr fontId="1" type="noConversion"/>
  </si>
  <si>
    <t>페페론치노</t>
    <phoneticPr fontId="1" type="noConversion"/>
  </si>
  <si>
    <t>바게트</t>
    <phoneticPr fontId="1" type="noConversion"/>
  </si>
  <si>
    <t>냉동닭발</t>
    <phoneticPr fontId="1" type="noConversion"/>
  </si>
  <si>
    <t>라오간마</t>
    <phoneticPr fontId="1" type="noConversion"/>
  </si>
  <si>
    <t>튀기는 새우칩</t>
    <phoneticPr fontId="1" type="noConversion"/>
  </si>
  <si>
    <t>고수</t>
    <phoneticPr fontId="1" type="noConversion"/>
  </si>
  <si>
    <t>냉동 블루베리</t>
    <phoneticPr fontId="1" type="noConversion"/>
  </si>
  <si>
    <t>냉동 딸기</t>
    <phoneticPr fontId="1" type="noConversion"/>
  </si>
  <si>
    <t>냉동 크랜베리</t>
    <phoneticPr fontId="1" type="noConversion"/>
  </si>
  <si>
    <t>바닐라아이스크림</t>
    <phoneticPr fontId="1" type="noConversion"/>
  </si>
  <si>
    <t>느타리버섯</t>
    <phoneticPr fontId="1" type="noConversion"/>
  </si>
  <si>
    <t>팽이버섯</t>
    <phoneticPr fontId="1" type="noConversion"/>
  </si>
  <si>
    <t>대파</t>
    <phoneticPr fontId="1" type="noConversion"/>
  </si>
  <si>
    <t>굴소스</t>
    <phoneticPr fontId="1" type="noConversion"/>
  </si>
  <si>
    <t>고추기름</t>
    <phoneticPr fontId="1" type="noConversion"/>
  </si>
  <si>
    <t>마요네즈</t>
    <phoneticPr fontId="1" type="noConversion"/>
  </si>
  <si>
    <t>레몬</t>
    <phoneticPr fontId="1" type="noConversion"/>
  </si>
  <si>
    <t>와사비</t>
    <phoneticPr fontId="1" type="noConversion"/>
  </si>
  <si>
    <t>라임</t>
    <phoneticPr fontId="1" type="noConversion"/>
  </si>
  <si>
    <t>식용유</t>
    <phoneticPr fontId="1" type="noConversion"/>
  </si>
  <si>
    <t>굵은고추가루</t>
    <phoneticPr fontId="1" type="noConversion"/>
  </si>
  <si>
    <t>디종머스타드</t>
    <phoneticPr fontId="1" type="noConversion"/>
  </si>
  <si>
    <t>차돌 버섯전골</t>
    <phoneticPr fontId="1" type="noConversion"/>
  </si>
  <si>
    <t>2배식초</t>
    <phoneticPr fontId="1" type="noConversion"/>
  </si>
  <si>
    <t>숙주</t>
    <phoneticPr fontId="1" type="noConversion"/>
  </si>
  <si>
    <t>새송이버섯</t>
    <phoneticPr fontId="1" type="noConversion"/>
  </si>
  <si>
    <t>표고버섯</t>
    <phoneticPr fontId="1" type="noConversion"/>
  </si>
  <si>
    <t>비스큐소스</t>
    <phoneticPr fontId="1" type="noConversion"/>
  </si>
  <si>
    <t>봉골레 조개탕</t>
    <phoneticPr fontId="1" type="noConversion"/>
  </si>
  <si>
    <t>감바스&amp;바게트</t>
    <phoneticPr fontId="1" type="noConversion"/>
  </si>
  <si>
    <t xml:space="preserve">명란 파스타 </t>
    <phoneticPr fontId="1" type="noConversion"/>
  </si>
  <si>
    <t>파르메지아노레지아노</t>
    <phoneticPr fontId="1" type="noConversion"/>
  </si>
  <si>
    <t>허브오일</t>
    <phoneticPr fontId="1" type="noConversion"/>
  </si>
  <si>
    <t>토핑명란</t>
    <phoneticPr fontId="1" type="noConversion"/>
  </si>
  <si>
    <t>1T</t>
    <phoneticPr fontId="1" type="noConversion"/>
  </si>
  <si>
    <t>1. 스파게티면 10분 삶아서 물기제거 후 팬이나 볼에 담는다.</t>
    <phoneticPr fontId="1" type="noConversion"/>
  </si>
  <si>
    <t>5. 허브오일 1T 뿌린후 마무리.</t>
    <phoneticPr fontId="1" type="noConversion"/>
  </si>
  <si>
    <t>레시피 순서</t>
    <phoneticPr fontId="1" type="noConversion"/>
  </si>
  <si>
    <t>바지락</t>
    <phoneticPr fontId="1" type="noConversion"/>
  </si>
  <si>
    <t>150g</t>
    <phoneticPr fontId="1" type="noConversion"/>
  </si>
  <si>
    <t>40g</t>
    <phoneticPr fontId="1" type="noConversion"/>
  </si>
  <si>
    <t>80g</t>
    <phoneticPr fontId="1" type="noConversion"/>
  </si>
  <si>
    <t>3g</t>
    <phoneticPr fontId="1" type="noConversion"/>
  </si>
  <si>
    <t>15g</t>
    <phoneticPr fontId="1" type="noConversion"/>
  </si>
  <si>
    <t>10g</t>
    <phoneticPr fontId="1" type="noConversion"/>
  </si>
  <si>
    <t>20g</t>
    <phoneticPr fontId="1" type="noConversion"/>
  </si>
  <si>
    <t>화이트와인</t>
    <phoneticPr fontId="1" type="noConversion"/>
  </si>
  <si>
    <t>200g</t>
    <phoneticPr fontId="1" type="noConversion"/>
  </si>
  <si>
    <t>400g</t>
    <phoneticPr fontId="1" type="noConversion"/>
  </si>
  <si>
    <t>2T</t>
    <phoneticPr fontId="1" type="noConversion"/>
  </si>
  <si>
    <t>8g (한줌)</t>
    <phoneticPr fontId="1" type="noConversion"/>
  </si>
  <si>
    <t>500ml</t>
    <phoneticPr fontId="1" type="noConversion"/>
  </si>
  <si>
    <t>2g</t>
    <phoneticPr fontId="1" type="noConversion"/>
  </si>
  <si>
    <t>4g</t>
    <phoneticPr fontId="1" type="noConversion"/>
  </si>
  <si>
    <t>봉골레 추가육수</t>
    <phoneticPr fontId="1" type="noConversion"/>
  </si>
  <si>
    <t>2. 마늘이 끓기 시작하면 조개넣고 30초정도 볶는다.</t>
    <phoneticPr fontId="1" type="noConversion"/>
  </si>
  <si>
    <t>1. 팬에 올리브오일을 두르고 다진마늘 베트남고추1개 부셔서 가스불올리고 볶는다.</t>
    <phoneticPr fontId="1" type="noConversion"/>
  </si>
  <si>
    <t>3. 화이트와인 한두바퀴 둘러주고 조개가 모두 입을 벌릴때 까지 뚜껑을 덮은후 익힌다.</t>
    <phoneticPr fontId="1" type="noConversion"/>
  </si>
  <si>
    <t>5. 청양고추와 홍고추 토핑을 올려 마무리.</t>
    <phoneticPr fontId="1" type="noConversion"/>
  </si>
  <si>
    <t>차돌버섯전골</t>
    <phoneticPr fontId="1" type="noConversion"/>
  </si>
  <si>
    <t>숙주</t>
    <phoneticPr fontId="1" type="noConversion"/>
  </si>
  <si>
    <t xml:space="preserve">차돌 </t>
    <phoneticPr fontId="1" type="noConversion"/>
  </si>
  <si>
    <t>150g</t>
    <phoneticPr fontId="1" type="noConversion"/>
  </si>
  <si>
    <t>100g</t>
    <phoneticPr fontId="1" type="noConversion"/>
  </si>
  <si>
    <t>다데기</t>
    <phoneticPr fontId="1" type="noConversion"/>
  </si>
  <si>
    <t>물</t>
    <phoneticPr fontId="1" type="noConversion"/>
  </si>
  <si>
    <t>치킨스톡</t>
    <phoneticPr fontId="1" type="noConversion"/>
  </si>
  <si>
    <t>조개다시다</t>
    <phoneticPr fontId="1" type="noConversion"/>
  </si>
  <si>
    <t>1000g</t>
    <phoneticPr fontId="1" type="noConversion"/>
  </si>
  <si>
    <t>10g</t>
    <phoneticPr fontId="1" type="noConversion"/>
  </si>
  <si>
    <t>60g</t>
    <phoneticPr fontId="1" type="noConversion"/>
  </si>
  <si>
    <t>1. 샤브냄비에 숙주, 버섯, 조개, 차돌, 대파, 청양고추, 홍고추 가이드대로 담기</t>
    <phoneticPr fontId="1" type="noConversion"/>
  </si>
  <si>
    <t>2. 물,치킨스톡,조개다시다 넣고 한번끓인후 샤브냄비에 넣는다.</t>
    <phoneticPr fontId="1" type="noConversion"/>
  </si>
  <si>
    <t>4. 육수(물500ml,치킨2g,조개2g)와 바질을 넣고 끓으면 냄비에 플레이팅.</t>
    <phoneticPr fontId="1" type="noConversion"/>
  </si>
  <si>
    <t>50g</t>
    <phoneticPr fontId="1" type="noConversion"/>
  </si>
  <si>
    <t>1. 마늘을 깨끗이 씻은후, 물기제거하고 냄비에 담는다.</t>
    <phoneticPr fontId="1" type="noConversion"/>
  </si>
  <si>
    <t>2. 마늘이 잠길만큼 충분한 오일을 부어주고, 오일이 기포가 올라올때 까지 한번 끓인다.</t>
    <phoneticPr fontId="1" type="noConversion"/>
  </si>
  <si>
    <t>3. 오븐용기에 담은후 우림팩에 로즈마리 통후추를 넣고 같이 용기에 담아준다.</t>
    <phoneticPr fontId="1" type="noConversion"/>
  </si>
  <si>
    <t>4. 180도 오븐에 1시간~1시간30분 / 호일씌울것!</t>
    <phoneticPr fontId="1" type="noConversion"/>
  </si>
  <si>
    <t>5. 우림팩은 건져낸후 마늘과 오일 분리후 마늘을 핸드블랜더로 갈고, 체에 한번 거른다</t>
    <phoneticPr fontId="1" type="noConversion"/>
  </si>
  <si>
    <t>6. 허브오일은 밑에 침전물을 제외하고 오일병에 따로 담아둘것!</t>
    <phoneticPr fontId="1" type="noConversion"/>
  </si>
  <si>
    <t>1. 명란젓:물 4:1 비율로 넣고 핸드블렌더에 갈것!</t>
    <phoneticPr fontId="1" type="noConversion"/>
  </si>
  <si>
    <t>2. 수분기가 모자라 잘 안갈릴 경우엔 허브오일을 조금씩 추가하며 블랜더로 갈기.</t>
    <phoneticPr fontId="1" type="noConversion"/>
  </si>
  <si>
    <t xml:space="preserve">베이컨 </t>
    <phoneticPr fontId="1" type="noConversion"/>
  </si>
  <si>
    <t>1. 오븐랙에 종이 호일을 깔고 베이컨올린후 허브오일을 살짝 뿌린다.</t>
    <phoneticPr fontId="1" type="noConversion"/>
  </si>
  <si>
    <t>2. 180도 오븐에 일정시간 굽기!</t>
    <phoneticPr fontId="1" type="noConversion"/>
  </si>
  <si>
    <t>3. 오븐에서 꺼내고 충분히 식힌후, 칼이나 밀대로 잘게 부신다.</t>
    <phoneticPr fontId="1" type="noConversion"/>
  </si>
  <si>
    <t>크리스피 통삼겹</t>
    <phoneticPr fontId="1" type="noConversion"/>
  </si>
  <si>
    <t>레시피.</t>
    <phoneticPr fontId="1" type="noConversion"/>
  </si>
  <si>
    <t>1. 삼겹살을 껍질쪽이 위로가게 랙위에 올린후 소금간을 한후 냉장고에 1~2일 건조하기.</t>
    <phoneticPr fontId="1" type="noConversion"/>
  </si>
  <si>
    <t>4. 삼겹살 컷팅후 가이드대로 플레이팅.</t>
    <phoneticPr fontId="1" type="noConversion"/>
  </si>
  <si>
    <t>미나리무침</t>
    <phoneticPr fontId="1" type="noConversion"/>
  </si>
  <si>
    <t>고추가루</t>
    <phoneticPr fontId="1" type="noConversion"/>
  </si>
  <si>
    <t xml:space="preserve">미나리 </t>
    <phoneticPr fontId="1" type="noConversion"/>
  </si>
  <si>
    <t>30g</t>
    <phoneticPr fontId="1" type="noConversion"/>
  </si>
  <si>
    <t>1g</t>
    <phoneticPr fontId="1" type="noConversion"/>
  </si>
  <si>
    <t>2. 마늘퓨레, 치킨스톡, 다진마늘을 넣고 잘 섞는다.</t>
    <phoneticPr fontId="1" type="noConversion"/>
  </si>
  <si>
    <t>3. 2번에 명란소스를 넣고 잘 섞는다.</t>
    <phoneticPr fontId="1" type="noConversion"/>
  </si>
  <si>
    <t>4. 잘섞은 파스타를 그릇에 담은후 파르메지아노 제스터로 갈아서 치즈 토핑.</t>
    <phoneticPr fontId="1" type="noConversion"/>
  </si>
  <si>
    <t>4. 베이컨칩&gt;쪽파&gt;토핑명란 순서로 플레이팅.</t>
    <phoneticPr fontId="1" type="noConversion"/>
  </si>
  <si>
    <t>마라닭발 튀김</t>
    <phoneticPr fontId="1" type="noConversion"/>
  </si>
  <si>
    <t>새우칩</t>
    <phoneticPr fontId="1" type="noConversion"/>
  </si>
  <si>
    <t>닭발</t>
    <phoneticPr fontId="1" type="noConversion"/>
  </si>
  <si>
    <t>200g</t>
    <phoneticPr fontId="1" type="noConversion"/>
  </si>
  <si>
    <t>전분가루</t>
    <phoneticPr fontId="1" type="noConversion"/>
  </si>
  <si>
    <t>마라소스</t>
    <phoneticPr fontId="1" type="noConversion"/>
  </si>
  <si>
    <t>고추기름</t>
    <phoneticPr fontId="1" type="noConversion"/>
  </si>
  <si>
    <t>베트남고추</t>
    <phoneticPr fontId="1" type="noConversion"/>
  </si>
  <si>
    <t>라오간마</t>
    <phoneticPr fontId="1" type="noConversion"/>
  </si>
  <si>
    <t>굴소스</t>
    <phoneticPr fontId="1" type="noConversion"/>
  </si>
  <si>
    <t>설탕</t>
    <phoneticPr fontId="1" type="noConversion"/>
  </si>
  <si>
    <t>물</t>
    <phoneticPr fontId="1" type="noConversion"/>
  </si>
  <si>
    <t>화조유</t>
    <phoneticPr fontId="1" type="noConversion"/>
  </si>
  <si>
    <t>1T</t>
    <phoneticPr fontId="1" type="noConversion"/>
  </si>
  <si>
    <t>2~3개</t>
    <phoneticPr fontId="1" type="noConversion"/>
  </si>
  <si>
    <t>50g</t>
    <phoneticPr fontId="1" type="noConversion"/>
  </si>
  <si>
    <t>70g</t>
    <phoneticPr fontId="1" type="noConversion"/>
  </si>
  <si>
    <t>레시피.</t>
    <phoneticPr fontId="1" type="noConversion"/>
  </si>
  <si>
    <t>1. 새우칩을 조리방법대로 튀긴다.</t>
    <phoneticPr fontId="1" type="noConversion"/>
  </si>
  <si>
    <t>2. 해동된 닭발을 넓은 밧드나 봉지에 전분을 넣고 골고루 묻혀준다.</t>
    <phoneticPr fontId="1" type="noConversion"/>
  </si>
  <si>
    <t>3. 전분가루를 뭍힌 닭발을 180~190도 기름에 5~7분 겉이 노릇하게 색이 변할정도로 튀긴다.</t>
    <phoneticPr fontId="1" type="noConversion"/>
  </si>
  <si>
    <t>4. 고추기름을 1T 팬이나 웍에 두르고 베트남고추2~3개 부셔서 살짝 볶는다.</t>
    <phoneticPr fontId="1" type="noConversion"/>
  </si>
  <si>
    <t>5. 기름이 끓기 시작하면 마라소스를 넣고 마라소스도 끓이기.</t>
    <phoneticPr fontId="1" type="noConversion"/>
  </si>
  <si>
    <t>6. 끓기시작한 소스에 튀긴닭발을 넣고 웍질을 해가며 골고루 소스를 묻히기.</t>
    <phoneticPr fontId="1" type="noConversion"/>
  </si>
  <si>
    <t>고수</t>
    <phoneticPr fontId="1" type="noConversion"/>
  </si>
  <si>
    <t>7. 새우칩 &gt; 마라닭발 &gt; 고수 순서로 플레이팅.</t>
    <phoneticPr fontId="1" type="noConversion"/>
  </si>
  <si>
    <t>1. 계량된 소스를 넣고 블랜더로 갈기.</t>
    <phoneticPr fontId="1" type="noConversion"/>
  </si>
  <si>
    <t>120g</t>
    <phoneticPr fontId="1" type="noConversion"/>
  </si>
  <si>
    <t>1. 계량된 소스를 넣고 블랜더에 갈기.</t>
    <phoneticPr fontId="1" type="noConversion"/>
  </si>
  <si>
    <t>2. 미나리양에 맞춰서 양념을 넣은후 참기름 1T 뿌려 마무리.</t>
    <phoneticPr fontId="1" type="noConversion"/>
  </si>
  <si>
    <t>1. 양념을 계량해서 넣고 섞은후 냉장고에 하루이상 숙성하기.</t>
    <phoneticPr fontId="1" type="noConversion"/>
  </si>
  <si>
    <t>마체도니아</t>
    <phoneticPr fontId="1" type="noConversion"/>
  </si>
  <si>
    <t>바닐라아이스크림</t>
    <phoneticPr fontId="1" type="noConversion"/>
  </si>
  <si>
    <t>딸기</t>
    <phoneticPr fontId="1" type="noConversion"/>
  </si>
  <si>
    <t>냉동블루베리</t>
    <phoneticPr fontId="1" type="noConversion"/>
  </si>
  <si>
    <t>라임</t>
    <phoneticPr fontId="1" type="noConversion"/>
  </si>
  <si>
    <t>감바스&amp;바게트</t>
    <phoneticPr fontId="1" type="noConversion"/>
  </si>
  <si>
    <t>마늘바게트</t>
    <phoneticPr fontId="1" type="noConversion"/>
  </si>
  <si>
    <t>냉동새우</t>
    <phoneticPr fontId="1" type="noConversion"/>
  </si>
  <si>
    <t>슬라이스마늘</t>
    <phoneticPr fontId="1" type="noConversion"/>
  </si>
  <si>
    <t>비스큐소스</t>
    <phoneticPr fontId="1" type="noConversion"/>
  </si>
  <si>
    <t>올리브오일</t>
    <phoneticPr fontId="1" type="noConversion"/>
  </si>
  <si>
    <t>마늘퓨레</t>
    <phoneticPr fontId="1" type="noConversion"/>
  </si>
  <si>
    <t>버터</t>
    <phoneticPr fontId="1" type="noConversion"/>
  </si>
  <si>
    <t>바게트</t>
    <phoneticPr fontId="1" type="noConversion"/>
  </si>
  <si>
    <t>미니브리스킷 버거</t>
    <phoneticPr fontId="1" type="noConversion"/>
  </si>
  <si>
    <t>브리스킷</t>
    <phoneticPr fontId="1" type="noConversion"/>
  </si>
  <si>
    <t>피클</t>
    <phoneticPr fontId="1" type="noConversion"/>
  </si>
  <si>
    <t>1개</t>
    <phoneticPr fontId="1" type="noConversion"/>
  </si>
  <si>
    <t>슬라이스치즈</t>
    <phoneticPr fontId="1" type="noConversion"/>
  </si>
  <si>
    <t>0.5개</t>
    <phoneticPr fontId="1" type="noConversion"/>
  </si>
  <si>
    <t>척,목심</t>
    <phoneticPr fontId="1" type="noConversion"/>
  </si>
  <si>
    <t>BBQ소스</t>
    <phoneticPr fontId="1" type="noConversion"/>
  </si>
  <si>
    <t>1. 덩어리 고기 지방을 살짝 손질후 후추간만해서 진공잡고 수비드 60도 24~36시간.</t>
    <phoneticPr fontId="1" type="noConversion"/>
  </si>
  <si>
    <t>2. 고기를 잘게 찢은후 계량된 소스 넣고 버무리기.</t>
    <phoneticPr fontId="1" type="noConversion"/>
  </si>
  <si>
    <t>3. 호일로 덮은후 170~180도 오븐에서 30분~1시간 굽기.</t>
    <phoneticPr fontId="1" type="noConversion"/>
  </si>
  <si>
    <t>1. 모닝빵 하프컷팅후 브리스킷 올리기.</t>
    <phoneticPr fontId="1" type="noConversion"/>
  </si>
  <si>
    <t>2. 브리스킷위에 치즈 올린후 토치로 치즈가 살짝 녹을때까지 가열.</t>
    <phoneticPr fontId="1" type="noConversion"/>
  </si>
  <si>
    <t>3. 가이드대로 3개 담은후 훈연기로 훈연.</t>
    <phoneticPr fontId="1" type="noConversion"/>
  </si>
  <si>
    <t>봉골레 육수</t>
    <phoneticPr fontId="1" type="noConversion"/>
  </si>
  <si>
    <t>미원</t>
    <phoneticPr fontId="1" type="noConversion"/>
  </si>
  <si>
    <t>44g</t>
    <phoneticPr fontId="1" type="noConversion"/>
  </si>
  <si>
    <t>36g</t>
    <phoneticPr fontId="1" type="noConversion"/>
  </si>
  <si>
    <t>24g</t>
    <phoneticPr fontId="1" type="noConversion"/>
  </si>
  <si>
    <t>16g</t>
    <phoneticPr fontId="1" type="noConversion"/>
  </si>
  <si>
    <t>1. 고추가루는 고운고추가루 굵은고추가루 반반쓸것.</t>
    <phoneticPr fontId="1" type="noConversion"/>
  </si>
  <si>
    <t>2. 계량대로 넣고 잘 섞은후 하루이상 냉장숙성.</t>
    <phoneticPr fontId="1" type="noConversion"/>
  </si>
  <si>
    <t>화조유</t>
    <phoneticPr fontId="1" type="noConversion"/>
  </si>
  <si>
    <t>1스쿱</t>
    <phoneticPr fontId="1" type="noConversion"/>
  </si>
  <si>
    <t>1개</t>
    <phoneticPr fontId="1" type="noConversion"/>
  </si>
  <si>
    <t>200g</t>
    <phoneticPr fontId="1" type="noConversion"/>
  </si>
  <si>
    <t>1/4개</t>
    <phoneticPr fontId="1" type="noConversion"/>
  </si>
  <si>
    <t>냉동크랜베리</t>
    <phoneticPr fontId="1" type="noConversion"/>
  </si>
  <si>
    <t>설탕</t>
    <phoneticPr fontId="1" type="noConversion"/>
  </si>
  <si>
    <t>라임</t>
    <phoneticPr fontId="1" type="noConversion"/>
  </si>
  <si>
    <t>20g</t>
    <phoneticPr fontId="1" type="noConversion"/>
  </si>
  <si>
    <t>3/1개</t>
    <phoneticPr fontId="1" type="noConversion"/>
  </si>
  <si>
    <t>베리류</t>
    <phoneticPr fontId="1" type="noConversion"/>
  </si>
  <si>
    <t>2. 삼겸살 수분을 키친타올로 제거한후 160도 오븐에서 1h10m 굽기 &gt;&gt; 120도 오븐에 1h 굽기</t>
    <phoneticPr fontId="1" type="noConversion"/>
  </si>
  <si>
    <t>3. 230도 오븐에서 10~15m 굽기.</t>
    <phoneticPr fontId="1" type="noConversion"/>
  </si>
  <si>
    <t>치킨육수</t>
    <phoneticPr fontId="1" type="noConversion"/>
  </si>
  <si>
    <t>90g</t>
    <phoneticPr fontId="1" type="noConversion"/>
  </si>
  <si>
    <t>8g(한줌)</t>
    <phoneticPr fontId="1" type="noConversion"/>
  </si>
  <si>
    <t>3개</t>
    <phoneticPr fontId="1" type="noConversion"/>
  </si>
  <si>
    <t>깍두기</t>
    <phoneticPr fontId="1" type="noConversion"/>
  </si>
  <si>
    <t>1. 마늘바게트 준비.</t>
    <phoneticPr fontId="1" type="noConversion"/>
  </si>
  <si>
    <t>3. 기름이 끓기 시작하면 다진마늘/베트남 고추를 넣고 기름이 끓을때 까지 볶는다.</t>
    <phoneticPr fontId="1" type="noConversion"/>
  </si>
  <si>
    <t>2. 팬을 중불에 올리고 올리브오일/슬라이스마늘을 넣고 기름이 살짝 끓을때 까지 볶는다.</t>
    <phoneticPr fontId="1" type="noConversion"/>
  </si>
  <si>
    <t>4. 팬을 강불로 올리고 물/비스큐소스를 넣고 물이 끓을때 까지 가열.</t>
    <phoneticPr fontId="1" type="noConversion"/>
  </si>
  <si>
    <t>5. 새우/소금/맛소금을 넣고 새우가익을때까지 에멀젼.</t>
    <phoneticPr fontId="1" type="noConversion"/>
  </si>
  <si>
    <t>6. 불을 끈상태에서 허브와 후추를 넣고 마무리.</t>
    <phoneticPr fontId="1" type="noConversion"/>
  </si>
  <si>
    <t>1. 슬라이스 바게트에 버터&gt;마늘퓨레 순서로 바르고 160도 오븐에 일정시간 굽기.</t>
    <phoneticPr fontId="1" type="noConversion"/>
  </si>
  <si>
    <t>바닐라 마체도니아</t>
    <phoneticPr fontId="1" type="noConversion"/>
  </si>
  <si>
    <t>300g</t>
    <phoneticPr fontId="1" type="noConversion"/>
  </si>
  <si>
    <t>누룽지 크러스트</t>
    <phoneticPr fontId="1" type="noConversion"/>
  </si>
  <si>
    <t>마늘후레이크</t>
    <phoneticPr fontId="1" type="noConversion"/>
  </si>
  <si>
    <t>1. 누룽지:마늘후레이크 20:1 비율로 넣고 푸드프로세서 또는 블랜더에 간다.</t>
    <phoneticPr fontId="1" type="noConversion"/>
  </si>
  <si>
    <t>치킨스탁</t>
    <phoneticPr fontId="1" type="noConversion"/>
  </si>
  <si>
    <t>1. 명란젓:치킨스탁 2:1 비율로 넣고 핸드블렌더에 갈것!</t>
    <phoneticPr fontId="1" type="noConversion"/>
  </si>
  <si>
    <t>미나리장</t>
    <phoneticPr fontId="1" type="noConversion"/>
  </si>
  <si>
    <t>600g</t>
    <phoneticPr fontId="1" type="noConversion"/>
  </si>
  <si>
    <t>봉골레스탁</t>
    <phoneticPr fontId="1" type="noConversion"/>
  </si>
  <si>
    <t>큐브</t>
    <phoneticPr fontId="1" type="noConversion"/>
  </si>
  <si>
    <t>1800g</t>
    <phoneticPr fontId="1" type="noConversion"/>
  </si>
  <si>
    <t>8개</t>
    <phoneticPr fontId="1" type="noConversion"/>
  </si>
  <si>
    <t>BMP 3호</t>
    <phoneticPr fontId="1" type="noConversion"/>
  </si>
  <si>
    <t>봉.추가육수</t>
    <phoneticPr fontId="1" type="noConversion"/>
  </si>
  <si>
    <t>6L주전자</t>
    <phoneticPr fontId="1" type="noConversion"/>
  </si>
  <si>
    <t>5000g</t>
    <phoneticPr fontId="1" type="noConversion"/>
  </si>
  <si>
    <t>2개</t>
    <phoneticPr fontId="1" type="noConversion"/>
  </si>
  <si>
    <t>x8</t>
    <phoneticPr fontId="1" type="noConversion"/>
  </si>
  <si>
    <t>480g</t>
    <phoneticPr fontId="1" type="noConversion"/>
  </si>
  <si>
    <t>240g</t>
    <phoneticPr fontId="1" type="noConversion"/>
  </si>
  <si>
    <t>1/6 스텐밧드</t>
    <phoneticPr fontId="1" type="noConversion"/>
  </si>
  <si>
    <t>x40</t>
    <phoneticPr fontId="1" type="noConversion"/>
  </si>
  <si>
    <t>45g</t>
    <phoneticPr fontId="1" type="noConversion"/>
  </si>
  <si>
    <t>500g</t>
    <phoneticPr fontId="1" type="noConversion"/>
  </si>
  <si>
    <t>x10</t>
    <phoneticPr fontId="1" type="noConversion"/>
  </si>
  <si>
    <t>백명란젓</t>
    <phoneticPr fontId="1" type="noConversion"/>
  </si>
  <si>
    <t>25g</t>
    <phoneticPr fontId="1" type="noConversion"/>
  </si>
  <si>
    <t>3구 소스통</t>
    <phoneticPr fontId="1" type="noConversion"/>
  </si>
  <si>
    <t>x5</t>
    <phoneticPr fontId="1" type="noConversion"/>
  </si>
  <si>
    <t xml:space="preserve">비스큐 </t>
    <phoneticPr fontId="1" type="noConversion"/>
  </si>
  <si>
    <t>x2</t>
    <phoneticPr fontId="1" type="noConversion"/>
  </si>
  <si>
    <t>2000g</t>
    <phoneticPr fontId="1" type="noConversion"/>
  </si>
  <si>
    <t>1200g</t>
    <phoneticPr fontId="1" type="noConversion"/>
  </si>
  <si>
    <t>전골스탁</t>
    <phoneticPr fontId="1" type="noConversion"/>
  </si>
  <si>
    <t>x20</t>
    <phoneticPr fontId="1" type="noConversion"/>
  </si>
  <si>
    <t>20개</t>
    <phoneticPr fontId="1" type="noConversion"/>
  </si>
  <si>
    <t>차돌.추가육수</t>
    <phoneticPr fontId="1" type="noConversion"/>
  </si>
  <si>
    <t>6L 주전자</t>
    <phoneticPr fontId="1" type="noConversion"/>
  </si>
  <si>
    <t>5개</t>
    <phoneticPr fontId="1" type="noConversion"/>
  </si>
  <si>
    <t>차돌다대기</t>
    <phoneticPr fontId="1" type="noConversion"/>
  </si>
  <si>
    <t>1/2 스텐밧드</t>
    <phoneticPr fontId="1" type="noConversion"/>
  </si>
  <si>
    <t>800g</t>
    <phoneticPr fontId="1" type="noConversion"/>
  </si>
  <si>
    <t>880g</t>
    <phoneticPr fontId="1" type="noConversion"/>
  </si>
  <si>
    <t>720g</t>
    <phoneticPr fontId="1" type="noConversion"/>
  </si>
  <si>
    <t>320g</t>
    <phoneticPr fontId="1" type="noConversion"/>
  </si>
  <si>
    <t>낙지비빔소스</t>
    <phoneticPr fontId="1" type="noConversion"/>
  </si>
  <si>
    <t>초장</t>
    <phoneticPr fontId="1" type="noConversion"/>
  </si>
  <si>
    <t>토마토소스</t>
    <phoneticPr fontId="1" type="noConversion"/>
  </si>
  <si>
    <t>로제가루</t>
    <phoneticPr fontId="1" type="noConversion"/>
  </si>
  <si>
    <t>후추가루</t>
    <phoneticPr fontId="1" type="noConversion"/>
  </si>
  <si>
    <t>소고기다시다</t>
    <phoneticPr fontId="1" type="noConversion"/>
  </si>
  <si>
    <t>치킨큐브</t>
    <phoneticPr fontId="1" type="noConversion"/>
  </si>
  <si>
    <t>양파분말</t>
    <phoneticPr fontId="1" type="noConversion"/>
  </si>
  <si>
    <t>7.5g</t>
    <phoneticPr fontId="1" type="noConversion"/>
  </si>
  <si>
    <t>x3</t>
    <phoneticPr fontId="1" type="noConversion"/>
  </si>
  <si>
    <t>450g</t>
    <phoneticPr fontId="1" type="noConversion"/>
  </si>
  <si>
    <t>22.5g</t>
    <phoneticPr fontId="1" type="noConversion"/>
  </si>
  <si>
    <t>9개</t>
    <phoneticPr fontId="1" type="noConversion"/>
  </si>
  <si>
    <t>유린기소스</t>
    <phoneticPr fontId="1" type="noConversion"/>
  </si>
  <si>
    <t>기꼬만</t>
    <phoneticPr fontId="1" type="noConversion"/>
  </si>
  <si>
    <t>환만식초</t>
    <phoneticPr fontId="1" type="noConversion"/>
  </si>
  <si>
    <t>330g</t>
    <phoneticPr fontId="1" type="noConversion"/>
  </si>
  <si>
    <t>250g</t>
    <phoneticPr fontId="1" type="noConversion"/>
  </si>
  <si>
    <t>레몬주스</t>
    <phoneticPr fontId="1" type="noConversion"/>
  </si>
  <si>
    <t xml:space="preserve">레몬 </t>
    <phoneticPr fontId="1" type="noConversion"/>
  </si>
  <si>
    <t xml:space="preserve">참기름 </t>
    <phoneticPr fontId="1" type="noConversion"/>
  </si>
  <si>
    <t>김치전</t>
    <phoneticPr fontId="1" type="noConversion"/>
  </si>
  <si>
    <t>김치전반죽</t>
    <phoneticPr fontId="1" type="noConversion"/>
  </si>
  <si>
    <t>불고기</t>
    <phoneticPr fontId="1" type="noConversion"/>
  </si>
  <si>
    <t>어린잎</t>
    <phoneticPr fontId="1" type="noConversion"/>
  </si>
  <si>
    <t>차슈</t>
    <phoneticPr fontId="1" type="noConversion"/>
  </si>
  <si>
    <t>차슈간장</t>
    <phoneticPr fontId="1" type="noConversion"/>
  </si>
  <si>
    <t>그라나파다노</t>
    <phoneticPr fontId="1" type="noConversion"/>
  </si>
  <si>
    <t>김치</t>
    <phoneticPr fontId="1" type="noConversion"/>
  </si>
  <si>
    <t>볶은김치</t>
    <phoneticPr fontId="1" type="noConversion"/>
  </si>
  <si>
    <t>감자전분</t>
    <phoneticPr fontId="1" type="noConversion"/>
  </si>
  <si>
    <t>부침가루</t>
    <phoneticPr fontId="1" type="noConversion"/>
  </si>
  <si>
    <t>찬물</t>
    <phoneticPr fontId="1" type="noConversion"/>
  </si>
  <si>
    <t>양배추</t>
    <phoneticPr fontId="1" type="noConversion"/>
  </si>
  <si>
    <t>김가루</t>
    <phoneticPr fontId="1" type="noConversion"/>
  </si>
  <si>
    <t>깨</t>
    <phoneticPr fontId="1" type="noConversion"/>
  </si>
  <si>
    <t>양파슬라이스</t>
    <phoneticPr fontId="1" type="noConversion"/>
  </si>
  <si>
    <t>오이</t>
    <phoneticPr fontId="1" type="noConversion"/>
  </si>
  <si>
    <t>양념장</t>
    <phoneticPr fontId="1" type="noConversion"/>
  </si>
  <si>
    <t>우동면</t>
    <phoneticPr fontId="1" type="noConversion"/>
  </si>
  <si>
    <t>물육회</t>
    <phoneticPr fontId="1" type="noConversion"/>
  </si>
  <si>
    <t>물육회장</t>
    <phoneticPr fontId="1" type="noConversion"/>
  </si>
  <si>
    <t>12g</t>
    <phoneticPr fontId="1" type="noConversion"/>
  </si>
  <si>
    <t>5g</t>
    <phoneticPr fontId="1" type="noConversion"/>
  </si>
  <si>
    <t>간장육회</t>
    <phoneticPr fontId="1" type="noConversion"/>
  </si>
  <si>
    <t>고추장</t>
    <phoneticPr fontId="1" type="noConversion"/>
  </si>
  <si>
    <t>올리고당</t>
    <phoneticPr fontId="1" type="noConversion"/>
  </si>
  <si>
    <t>매실액</t>
    <phoneticPr fontId="1" type="noConversion"/>
  </si>
  <si>
    <t>쇠고기다시다</t>
    <phoneticPr fontId="1" type="noConversion"/>
  </si>
  <si>
    <t>사과주스</t>
    <phoneticPr fontId="1" type="noConversion"/>
  </si>
  <si>
    <t>갈배</t>
    <phoneticPr fontId="1" type="noConversion"/>
  </si>
  <si>
    <t>사이다</t>
    <phoneticPr fontId="1" type="noConversion"/>
  </si>
  <si>
    <t>간양파</t>
    <phoneticPr fontId="1" type="noConversion"/>
  </si>
  <si>
    <t>파인애플</t>
    <phoneticPr fontId="1" type="noConversion"/>
  </si>
  <si>
    <t>동치미육수</t>
    <phoneticPr fontId="1" type="noConversion"/>
  </si>
  <si>
    <t>140g</t>
    <phoneticPr fontId="1" type="noConversion"/>
  </si>
  <si>
    <t>14g</t>
    <phoneticPr fontId="1" type="noConversion"/>
  </si>
  <si>
    <t>340g</t>
    <phoneticPr fontId="1" type="noConversion"/>
  </si>
  <si>
    <t>360g</t>
    <phoneticPr fontId="1" type="noConversion"/>
  </si>
  <si>
    <t>180g</t>
    <phoneticPr fontId="1" type="noConversion"/>
  </si>
  <si>
    <t>간장육회소스</t>
    <phoneticPr fontId="1" type="noConversion"/>
  </si>
  <si>
    <t>양조간장</t>
    <phoneticPr fontId="1" type="noConversion"/>
  </si>
  <si>
    <t>두부김치</t>
    <phoneticPr fontId="1" type="noConversion"/>
  </si>
  <si>
    <t>두부</t>
    <phoneticPr fontId="1" type="noConversion"/>
  </si>
  <si>
    <t>1모</t>
    <phoneticPr fontId="1" type="noConversion"/>
  </si>
  <si>
    <t>1600g</t>
    <phoneticPr fontId="1" type="noConversion"/>
  </si>
  <si>
    <t>볶은후</t>
    <phoneticPr fontId="1" type="noConversion"/>
  </si>
  <si>
    <t>카펠리니</t>
    <phoneticPr fontId="1" type="noConversion"/>
  </si>
  <si>
    <t>다진부추</t>
    <phoneticPr fontId="1" type="noConversion"/>
  </si>
  <si>
    <t>간장파스타소스</t>
    <phoneticPr fontId="1" type="noConversion"/>
  </si>
  <si>
    <t>참소스</t>
    <phoneticPr fontId="1" type="noConversion"/>
  </si>
  <si>
    <t>비프스탁</t>
    <phoneticPr fontId="1" type="noConversion"/>
  </si>
  <si>
    <t>1t</t>
    <phoneticPr fontId="1" type="noConversion"/>
  </si>
  <si>
    <t>후추분</t>
    <phoneticPr fontId="1" type="noConversion"/>
  </si>
  <si>
    <t>가쓰오부시</t>
    <phoneticPr fontId="1" type="noConversion"/>
  </si>
  <si>
    <t>다진생강</t>
    <phoneticPr fontId="1" type="noConversion"/>
  </si>
  <si>
    <t>대파(초록)</t>
    <phoneticPr fontId="1" type="noConversion"/>
  </si>
  <si>
    <t>청주</t>
    <phoneticPr fontId="1" type="noConversion"/>
  </si>
  <si>
    <t>미림</t>
    <phoneticPr fontId="1" type="noConversion"/>
  </si>
  <si>
    <t>황설탕</t>
    <phoneticPr fontId="1" type="noConversion"/>
  </si>
  <si>
    <t>타마리간장</t>
    <phoneticPr fontId="1" type="noConversion"/>
  </si>
  <si>
    <t>5대</t>
    <phoneticPr fontId="1" type="noConversion"/>
  </si>
  <si>
    <t>코스트</t>
    <phoneticPr fontId="1" type="noConversion"/>
  </si>
  <si>
    <t>가격</t>
    <phoneticPr fontId="1" type="noConversion"/>
  </si>
  <si>
    <t>용량</t>
    <phoneticPr fontId="1" type="noConversion"/>
  </si>
  <si>
    <t>g당가격(원)</t>
    <phoneticPr fontId="1" type="noConversion"/>
  </si>
  <si>
    <t>BMP 4호</t>
    <phoneticPr fontId="1" type="noConversion"/>
  </si>
  <si>
    <t>660g</t>
    <phoneticPr fontId="1" type="noConversion"/>
  </si>
  <si>
    <t>참소스소스</t>
    <phoneticPr fontId="1" type="noConversion"/>
  </si>
  <si>
    <t xml:space="preserve">참소스 </t>
    <phoneticPr fontId="1" type="noConversion"/>
  </si>
  <si>
    <t>식초</t>
    <phoneticPr fontId="1" type="noConversion"/>
  </si>
  <si>
    <t>x9</t>
    <phoneticPr fontId="1" type="noConversion"/>
  </si>
  <si>
    <t>2250g</t>
    <phoneticPr fontId="1" type="noConversion"/>
  </si>
  <si>
    <t>225g</t>
    <phoneticPr fontId="1" type="noConversion"/>
  </si>
  <si>
    <t>900g</t>
    <phoneticPr fontId="1" type="noConversion"/>
  </si>
  <si>
    <t>9t</t>
    <phoneticPr fontId="1" type="noConversion"/>
  </si>
  <si>
    <t>9T</t>
    <phoneticPr fontId="1" type="noConversion"/>
  </si>
  <si>
    <t>4 1/2t</t>
    <phoneticPr fontId="1" type="noConversion"/>
  </si>
  <si>
    <t>가스오부시</t>
    <phoneticPr fontId="1" type="noConversion"/>
  </si>
  <si>
    <t>생강</t>
    <phoneticPr fontId="1" type="noConversion"/>
  </si>
  <si>
    <t>4500g</t>
    <phoneticPr fontId="1" type="noConversion"/>
  </si>
  <si>
    <t>5~7대</t>
    <phoneticPr fontId="1" type="noConversion"/>
  </si>
  <si>
    <t>3L</t>
    <phoneticPr fontId="1" type="noConversion"/>
  </si>
  <si>
    <t>3~5대</t>
    <phoneticPr fontId="1" type="noConversion"/>
  </si>
  <si>
    <t>물육회소스</t>
    <phoneticPr fontId="1" type="noConversion"/>
  </si>
  <si>
    <t>쇠고리다시다</t>
    <phoneticPr fontId="1" type="noConversion"/>
  </si>
  <si>
    <t>간파인애플</t>
    <phoneticPr fontId="1" type="noConversion"/>
  </si>
  <si>
    <t>고추장육회</t>
    <phoneticPr fontId="1" type="noConversion"/>
  </si>
  <si>
    <t xml:space="preserve">고추장 </t>
    <phoneticPr fontId="1" type="noConversion"/>
  </si>
  <si>
    <t>BMP 2호</t>
    <phoneticPr fontId="1" type="noConversion"/>
  </si>
  <si>
    <t>2개</t>
  </si>
  <si>
    <t>501g</t>
  </si>
  <si>
    <t>x1</t>
    <phoneticPr fontId="1" type="noConversion"/>
  </si>
  <si>
    <t>감자스프</t>
    <phoneticPr fontId="1" type="noConversion"/>
  </si>
  <si>
    <t>냉동매쉬</t>
    <phoneticPr fontId="1" type="noConversion"/>
  </si>
  <si>
    <t>밀락</t>
    <phoneticPr fontId="1" type="noConversion"/>
  </si>
  <si>
    <t>우유</t>
    <phoneticPr fontId="1" type="noConversion"/>
  </si>
  <si>
    <t>1니들</t>
    <phoneticPr fontId="1" type="noConversion"/>
  </si>
  <si>
    <t>볶음김치</t>
    <phoneticPr fontId="1" type="noConversion"/>
  </si>
  <si>
    <t>5니들</t>
    <phoneticPr fontId="1" type="noConversion"/>
  </si>
  <si>
    <t>퓨어오일</t>
    <phoneticPr fontId="1" type="noConversion"/>
  </si>
  <si>
    <t>롱고발디</t>
    <phoneticPr fontId="1" type="noConversion"/>
  </si>
  <si>
    <t>양파찹</t>
    <phoneticPr fontId="1" type="noConversion"/>
  </si>
  <si>
    <t>오레가노</t>
    <phoneticPr fontId="1" type="noConversion"/>
  </si>
  <si>
    <t>굵은후추</t>
    <phoneticPr fontId="1" type="noConversion"/>
  </si>
  <si>
    <t>메기치킨스탁</t>
    <phoneticPr fontId="1" type="noConversion"/>
  </si>
  <si>
    <t>월계수</t>
    <phoneticPr fontId="1" type="noConversion"/>
  </si>
  <si>
    <t>4바퀴</t>
    <phoneticPr fontId="1" type="noConversion"/>
  </si>
  <si>
    <t>2바퀴</t>
    <phoneticPr fontId="1" type="noConversion"/>
  </si>
  <si>
    <t>1캔</t>
    <phoneticPr fontId="1" type="noConversion"/>
  </si>
  <si>
    <t>1.5T</t>
    <phoneticPr fontId="1" type="noConversion"/>
  </si>
  <si>
    <t>2.5T</t>
    <phoneticPr fontId="1" type="noConversion"/>
  </si>
  <si>
    <t>1꼬집</t>
    <phoneticPr fontId="1" type="noConversion"/>
  </si>
  <si>
    <t>3멜</t>
    <phoneticPr fontId="1" type="noConversion"/>
  </si>
  <si>
    <t>2멜</t>
    <phoneticPr fontId="1" type="noConversion"/>
  </si>
  <si>
    <t>블루베리</t>
    <phoneticPr fontId="1" type="noConversion"/>
  </si>
  <si>
    <t>와사비마요</t>
    <phoneticPr fontId="1" type="noConversion"/>
  </si>
  <si>
    <t>애플비네거</t>
    <phoneticPr fontId="1" type="noConversion"/>
  </si>
  <si>
    <t>175g</t>
    <phoneticPr fontId="1" type="noConversion"/>
  </si>
  <si>
    <t>BMP 0호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</si>
</sst>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C68A-4176-4412-96E1-4D9559426E12}">
  <dimension ref="A1:I36"/>
  <sheetViews>
    <sheetView workbookViewId="0">
      <selection activeCell="K22" sqref="K22"/>
    </sheetView>
  </sheetViews>
  <sheetFormatPr defaultRowHeight="16.5" x14ac:dyDescent="0.3"/>
  <cols>
    <col min="1" max="1" width="16.625" customWidth="1"/>
    <col min="2" max="4" width="10.5" style="4" customWidth="1"/>
    <col min="5" max="5" width="2.625" customWidth="1"/>
    <col min="6" max="6" width="16.625" customWidth="1"/>
    <col min="7" max="9" width="10.5" style="4" customWidth="1"/>
    <col min="10" max="10" width="18.25" customWidth="1"/>
    <col min="11" max="11" width="10.5" customWidth="1"/>
  </cols>
  <sheetData>
    <row r="1" spans="1:9" ht="19.5" customHeight="1" x14ac:dyDescent="0.3">
      <c r="A1" s="2" t="s">
        <v>7</v>
      </c>
      <c r="B1" s="3" t="s">
        <v>4</v>
      </c>
      <c r="C1" s="3" t="s">
        <v>5</v>
      </c>
      <c r="D1" s="3" t="s">
        <v>10</v>
      </c>
      <c r="E1" s="1"/>
      <c r="F1" s="2" t="s">
        <v>41</v>
      </c>
      <c r="G1" s="3" t="s">
        <v>4</v>
      </c>
      <c r="H1" s="3" t="s">
        <v>5</v>
      </c>
      <c r="I1" s="3" t="s">
        <v>10</v>
      </c>
    </row>
    <row r="2" spans="1:9" ht="19.5" customHeight="1" x14ac:dyDescent="0.3">
      <c r="A2" s="1" t="s">
        <v>1</v>
      </c>
      <c r="B2" s="3"/>
      <c r="C2" s="3"/>
      <c r="D2" s="3">
        <v>150</v>
      </c>
      <c r="E2" s="1"/>
      <c r="F2" s="1" t="s">
        <v>20</v>
      </c>
      <c r="G2" s="3"/>
      <c r="H2" s="3"/>
      <c r="I2" s="3">
        <v>77</v>
      </c>
    </row>
    <row r="3" spans="1:9" ht="19.5" customHeight="1" x14ac:dyDescent="0.3">
      <c r="A3" s="1" t="s">
        <v>0</v>
      </c>
      <c r="B3" s="3">
        <v>305</v>
      </c>
      <c r="C3" s="3">
        <v>249</v>
      </c>
      <c r="D3" s="3">
        <f t="shared" ref="D3:D27" si="0">B3-C3</f>
        <v>56</v>
      </c>
      <c r="E3" s="1"/>
      <c r="F3" s="1" t="s">
        <v>14</v>
      </c>
      <c r="G3" s="3"/>
      <c r="H3" s="3"/>
      <c r="I3" s="3">
        <v>30</v>
      </c>
    </row>
    <row r="4" spans="1:9" ht="19.5" customHeight="1" x14ac:dyDescent="0.3">
      <c r="A4" s="1" t="s">
        <v>2</v>
      </c>
      <c r="B4" s="3">
        <v>404</v>
      </c>
      <c r="C4" s="3">
        <v>311</v>
      </c>
      <c r="D4" s="3">
        <f t="shared" si="0"/>
        <v>93</v>
      </c>
      <c r="E4" s="1"/>
      <c r="F4" s="1" t="s">
        <v>21</v>
      </c>
      <c r="G4" s="3"/>
      <c r="H4" s="3"/>
      <c r="I4" s="3">
        <f t="shared" ref="I4:I14" si="1">G4-H4</f>
        <v>0</v>
      </c>
    </row>
    <row r="5" spans="1:9" ht="19.5" customHeight="1" x14ac:dyDescent="0.3">
      <c r="A5" s="1" t="s">
        <v>3</v>
      </c>
      <c r="B5" s="3">
        <v>236</v>
      </c>
      <c r="C5" s="3">
        <v>220</v>
      </c>
      <c r="D5" s="3">
        <f t="shared" si="0"/>
        <v>16</v>
      </c>
      <c r="E5" s="1"/>
      <c r="F5" s="1"/>
      <c r="G5" s="3"/>
      <c r="H5" s="3"/>
      <c r="I5" s="3">
        <f t="shared" si="1"/>
        <v>0</v>
      </c>
    </row>
    <row r="6" spans="1:9" ht="19.5" customHeight="1" x14ac:dyDescent="0.3">
      <c r="A6" s="1" t="s">
        <v>6</v>
      </c>
      <c r="B6" s="3">
        <v>38</v>
      </c>
      <c r="C6" s="3">
        <v>35</v>
      </c>
      <c r="D6" s="3">
        <f t="shared" si="0"/>
        <v>3</v>
      </c>
      <c r="E6" s="1"/>
      <c r="F6" s="2" t="s">
        <v>17</v>
      </c>
      <c r="G6" s="3" t="s">
        <v>4</v>
      </c>
      <c r="H6" s="3" t="s">
        <v>5</v>
      </c>
      <c r="I6" s="3" t="s">
        <v>10</v>
      </c>
    </row>
    <row r="7" spans="1:9" ht="19.5" customHeight="1" x14ac:dyDescent="0.3">
      <c r="A7" s="1" t="s">
        <v>11</v>
      </c>
      <c r="B7" s="3"/>
      <c r="C7" s="3"/>
      <c r="D7" s="3">
        <v>5</v>
      </c>
      <c r="E7" s="1"/>
      <c r="F7" s="1" t="s">
        <v>0</v>
      </c>
      <c r="G7" s="3"/>
      <c r="H7" s="3"/>
      <c r="I7" s="3">
        <f t="shared" si="1"/>
        <v>0</v>
      </c>
    </row>
    <row r="8" spans="1:9" ht="19.5" customHeight="1" x14ac:dyDescent="0.3">
      <c r="A8" s="1"/>
      <c r="B8" s="3"/>
      <c r="C8" s="3"/>
      <c r="D8" s="3">
        <f t="shared" si="0"/>
        <v>0</v>
      </c>
      <c r="E8" s="1"/>
      <c r="F8" s="1" t="s">
        <v>23</v>
      </c>
      <c r="G8" s="3"/>
      <c r="H8" s="3"/>
      <c r="I8" s="3">
        <f t="shared" si="1"/>
        <v>0</v>
      </c>
    </row>
    <row r="9" spans="1:9" ht="19.5" customHeight="1" x14ac:dyDescent="0.3">
      <c r="A9" s="2" t="s">
        <v>8</v>
      </c>
      <c r="B9" s="3" t="s">
        <v>4</v>
      </c>
      <c r="C9" s="3" t="s">
        <v>5</v>
      </c>
      <c r="D9" s="3" t="s">
        <v>10</v>
      </c>
      <c r="E9" s="1"/>
      <c r="F9" s="1"/>
      <c r="G9" s="3"/>
      <c r="H9" s="3"/>
      <c r="I9" s="3">
        <f t="shared" si="1"/>
        <v>0</v>
      </c>
    </row>
    <row r="10" spans="1:9" ht="19.5" customHeight="1" x14ac:dyDescent="0.3">
      <c r="A10" s="1" t="s">
        <v>9</v>
      </c>
      <c r="B10" s="3"/>
      <c r="C10" s="3"/>
      <c r="D10" s="3">
        <v>600</v>
      </c>
      <c r="E10" s="1"/>
      <c r="F10" s="2" t="s">
        <v>16</v>
      </c>
      <c r="G10" s="3" t="s">
        <v>4</v>
      </c>
      <c r="H10" s="3" t="s">
        <v>5</v>
      </c>
      <c r="I10" s="3" t="s">
        <v>10</v>
      </c>
    </row>
    <row r="11" spans="1:9" ht="19.5" customHeight="1" x14ac:dyDescent="0.3">
      <c r="A11" s="1" t="s">
        <v>22</v>
      </c>
      <c r="B11" s="3"/>
      <c r="C11" s="3"/>
      <c r="D11" s="3">
        <v>2</v>
      </c>
      <c r="E11" s="1"/>
      <c r="F11" s="1" t="s">
        <v>24</v>
      </c>
      <c r="G11" s="3"/>
      <c r="H11" s="3"/>
      <c r="I11" s="3">
        <v>50</v>
      </c>
    </row>
    <row r="12" spans="1:9" ht="19.5" customHeight="1" x14ac:dyDescent="0.3">
      <c r="A12" s="1" t="s">
        <v>11</v>
      </c>
      <c r="B12" s="3">
        <v>18</v>
      </c>
      <c r="C12" s="3">
        <v>8</v>
      </c>
      <c r="D12" s="3">
        <f t="shared" si="0"/>
        <v>10</v>
      </c>
      <c r="E12" s="1"/>
      <c r="F12" s="1" t="s">
        <v>25</v>
      </c>
      <c r="G12" s="3"/>
      <c r="H12" s="3"/>
      <c r="I12" s="3">
        <v>5</v>
      </c>
    </row>
    <row r="13" spans="1:9" ht="19.5" customHeight="1" x14ac:dyDescent="0.3">
      <c r="A13" s="1" t="s">
        <v>12</v>
      </c>
      <c r="B13" s="3"/>
      <c r="C13" s="3"/>
      <c r="D13" s="3">
        <f t="shared" si="0"/>
        <v>0</v>
      </c>
      <c r="E13" s="1"/>
      <c r="F13" s="1" t="s">
        <v>23</v>
      </c>
      <c r="G13" s="3"/>
      <c r="H13" s="3"/>
      <c r="I13" s="3">
        <v>10</v>
      </c>
    </row>
    <row r="14" spans="1:9" ht="19.5" customHeight="1" x14ac:dyDescent="0.3">
      <c r="A14" s="1" t="s">
        <v>13</v>
      </c>
      <c r="B14" s="3"/>
      <c r="C14" s="3"/>
      <c r="D14" s="3">
        <f t="shared" si="0"/>
        <v>0</v>
      </c>
      <c r="E14" s="1"/>
      <c r="F14" s="1"/>
      <c r="G14" s="3"/>
      <c r="H14" s="3"/>
      <c r="I14" s="3">
        <f t="shared" si="1"/>
        <v>0</v>
      </c>
    </row>
    <row r="15" spans="1:9" ht="19.5" customHeight="1" x14ac:dyDescent="0.3">
      <c r="A15" s="1"/>
      <c r="B15" s="3"/>
      <c r="C15" s="3"/>
      <c r="D15" s="3">
        <f t="shared" si="0"/>
        <v>0</v>
      </c>
      <c r="E15" s="1"/>
      <c r="F15" s="2" t="s">
        <v>18</v>
      </c>
      <c r="G15" s="3" t="s">
        <v>4</v>
      </c>
      <c r="H15" s="3" t="s">
        <v>5</v>
      </c>
      <c r="I15" s="3" t="s">
        <v>10</v>
      </c>
    </row>
    <row r="16" spans="1:9" ht="19.5" customHeight="1" x14ac:dyDescent="0.3">
      <c r="A16" s="2" t="s">
        <v>36</v>
      </c>
      <c r="B16" s="3" t="s">
        <v>4</v>
      </c>
      <c r="C16" s="3" t="s">
        <v>5</v>
      </c>
      <c r="D16" s="3" t="s">
        <v>10</v>
      </c>
      <c r="E16" s="1"/>
      <c r="F16" s="1" t="s">
        <v>26</v>
      </c>
      <c r="G16" s="3"/>
      <c r="H16" s="3"/>
      <c r="I16" s="3">
        <v>120</v>
      </c>
    </row>
    <row r="17" spans="1:9" ht="19.5" customHeight="1" x14ac:dyDescent="0.3">
      <c r="A17" s="1" t="s">
        <v>15</v>
      </c>
      <c r="B17" s="3"/>
      <c r="C17" s="3"/>
      <c r="D17" s="3">
        <f t="shared" si="0"/>
        <v>0</v>
      </c>
      <c r="E17" s="1"/>
      <c r="F17" s="1" t="s">
        <v>27</v>
      </c>
      <c r="G17" s="3"/>
      <c r="H17" s="3"/>
      <c r="I17" s="3">
        <v>30</v>
      </c>
    </row>
    <row r="18" spans="1:9" ht="19.5" customHeight="1" x14ac:dyDescent="0.3">
      <c r="A18" s="1" t="s">
        <v>16</v>
      </c>
      <c r="B18" s="3">
        <v>281</v>
      </c>
      <c r="C18" s="3">
        <v>252</v>
      </c>
      <c r="D18" s="3">
        <f t="shared" si="0"/>
        <v>29</v>
      </c>
      <c r="E18" s="1"/>
      <c r="F18" s="1" t="s">
        <v>45</v>
      </c>
      <c r="G18" s="3"/>
      <c r="H18" s="3"/>
      <c r="I18" s="3">
        <f t="shared" ref="I18:I19" si="2">G18-H18</f>
        <v>0</v>
      </c>
    </row>
    <row r="19" spans="1:9" ht="19.5" customHeight="1" x14ac:dyDescent="0.3">
      <c r="A19" s="1" t="s">
        <v>17</v>
      </c>
      <c r="B19" s="3"/>
      <c r="C19" s="3"/>
      <c r="D19" s="3">
        <f t="shared" si="0"/>
        <v>0</v>
      </c>
      <c r="E19" s="1"/>
      <c r="F19" s="1" t="s">
        <v>29</v>
      </c>
      <c r="G19" s="3">
        <v>161</v>
      </c>
      <c r="H19" s="3">
        <v>116</v>
      </c>
      <c r="I19" s="3">
        <f t="shared" si="2"/>
        <v>45</v>
      </c>
    </row>
    <row r="20" spans="1:9" ht="19.5" customHeight="1" x14ac:dyDescent="0.3">
      <c r="A20" s="1" t="s">
        <v>18</v>
      </c>
      <c r="B20" s="3"/>
      <c r="C20" s="3"/>
      <c r="D20" s="3">
        <f t="shared" si="0"/>
        <v>0</v>
      </c>
      <c r="E20" s="1"/>
      <c r="F20" s="1" t="s">
        <v>28</v>
      </c>
      <c r="G20" s="3"/>
      <c r="H20" s="3"/>
      <c r="I20" s="3">
        <v>20</v>
      </c>
    </row>
    <row r="21" spans="1:9" ht="19.5" customHeight="1" x14ac:dyDescent="0.3">
      <c r="A21" s="1" t="s">
        <v>19</v>
      </c>
      <c r="B21" s="3">
        <v>305</v>
      </c>
      <c r="C21" s="3">
        <v>289</v>
      </c>
      <c r="D21" s="3">
        <f t="shared" si="0"/>
        <v>16</v>
      </c>
      <c r="E21" s="1"/>
      <c r="F21" s="1" t="s">
        <v>14</v>
      </c>
      <c r="G21" s="3">
        <v>883</v>
      </c>
      <c r="H21" s="3">
        <v>757</v>
      </c>
      <c r="I21" s="3">
        <f t="shared" ref="I21" si="3">G21-H21</f>
        <v>126</v>
      </c>
    </row>
    <row r="22" spans="1:9" ht="19.5" customHeight="1" x14ac:dyDescent="0.3">
      <c r="A22" s="1"/>
      <c r="B22" s="3"/>
      <c r="C22" s="3"/>
      <c r="D22" s="3">
        <f t="shared" si="0"/>
        <v>0</v>
      </c>
      <c r="E22" s="1"/>
      <c r="F22" s="1" t="s">
        <v>43</v>
      </c>
      <c r="G22" s="3"/>
      <c r="H22" s="3"/>
      <c r="I22" s="3"/>
    </row>
    <row r="23" spans="1:9" ht="19.5" customHeight="1" x14ac:dyDescent="0.3">
      <c r="A23" s="2" t="s">
        <v>37</v>
      </c>
      <c r="B23" s="3" t="s">
        <v>4</v>
      </c>
      <c r="C23" s="3" t="s">
        <v>5</v>
      </c>
      <c r="D23" s="3" t="s">
        <v>10</v>
      </c>
      <c r="E23" s="1"/>
      <c r="F23" s="1" t="s">
        <v>42</v>
      </c>
      <c r="G23" s="3"/>
      <c r="H23" s="3"/>
      <c r="I23" s="3">
        <v>4</v>
      </c>
    </row>
    <row r="24" spans="1:9" ht="19.5" customHeight="1" x14ac:dyDescent="0.3">
      <c r="A24" s="1" t="s">
        <v>15</v>
      </c>
      <c r="B24" s="3"/>
      <c r="C24" s="3"/>
      <c r="D24" s="3">
        <f t="shared" si="0"/>
        <v>0</v>
      </c>
      <c r="E24" s="1"/>
      <c r="F24" s="1" t="s">
        <v>34</v>
      </c>
      <c r="G24" s="3"/>
      <c r="H24" s="3"/>
      <c r="I24" s="3">
        <v>4</v>
      </c>
    </row>
    <row r="25" spans="1:9" ht="19.5" customHeight="1" x14ac:dyDescent="0.3">
      <c r="A25" s="1" t="s">
        <v>38</v>
      </c>
      <c r="B25" s="3"/>
      <c r="C25" s="3"/>
      <c r="D25" s="3">
        <f t="shared" si="0"/>
        <v>0</v>
      </c>
      <c r="E25" s="1"/>
      <c r="F25" s="1"/>
      <c r="G25" s="3"/>
      <c r="H25" s="3"/>
      <c r="I25" s="3"/>
    </row>
    <row r="26" spans="1:9" ht="19.5" customHeight="1" x14ac:dyDescent="0.3">
      <c r="A26" s="1" t="s">
        <v>39</v>
      </c>
      <c r="B26" s="3"/>
      <c r="C26" s="3"/>
      <c r="D26" s="3">
        <f t="shared" si="0"/>
        <v>0</v>
      </c>
      <c r="E26" s="1"/>
      <c r="F26" s="2" t="s">
        <v>32</v>
      </c>
      <c r="G26" s="3" t="s">
        <v>4</v>
      </c>
      <c r="H26" s="3" t="s">
        <v>5</v>
      </c>
      <c r="I26" s="3" t="s">
        <v>10</v>
      </c>
    </row>
    <row r="27" spans="1:9" ht="19.5" customHeight="1" x14ac:dyDescent="0.3">
      <c r="A27" s="1"/>
      <c r="B27" s="3"/>
      <c r="C27" s="3"/>
      <c r="D27" s="3">
        <f t="shared" si="0"/>
        <v>0</v>
      </c>
      <c r="E27" s="1"/>
      <c r="F27" s="1" t="s">
        <v>33</v>
      </c>
      <c r="G27" s="3"/>
      <c r="H27" s="3"/>
      <c r="I27" s="3">
        <v>100</v>
      </c>
    </row>
    <row r="28" spans="1:9" ht="19.5" customHeight="1" x14ac:dyDescent="0.3">
      <c r="A28" s="2" t="s">
        <v>23</v>
      </c>
      <c r="B28" s="3" t="s">
        <v>4</v>
      </c>
      <c r="C28" s="3" t="s">
        <v>5</v>
      </c>
      <c r="D28" s="3" t="s">
        <v>10</v>
      </c>
      <c r="E28" s="1"/>
      <c r="F28" s="1" t="s">
        <v>34</v>
      </c>
      <c r="G28" s="3"/>
      <c r="H28" s="3"/>
      <c r="I28" s="3">
        <v>5</v>
      </c>
    </row>
    <row r="29" spans="1:9" ht="19.5" customHeight="1" x14ac:dyDescent="0.3">
      <c r="A29" s="1" t="s">
        <v>30</v>
      </c>
      <c r="B29" s="3"/>
      <c r="C29" s="3"/>
      <c r="D29" s="3">
        <v>10</v>
      </c>
      <c r="E29" s="1"/>
      <c r="F29" s="1" t="s">
        <v>35</v>
      </c>
      <c r="G29" s="3"/>
      <c r="H29" s="3"/>
      <c r="I29" s="3">
        <v>5</v>
      </c>
    </row>
    <row r="30" spans="1:9" ht="19.5" customHeight="1" x14ac:dyDescent="0.3">
      <c r="A30" s="1" t="s">
        <v>31</v>
      </c>
      <c r="B30" s="3"/>
      <c r="C30" s="3"/>
      <c r="D30" s="3">
        <v>500</v>
      </c>
      <c r="E30" s="1"/>
      <c r="F30" s="1" t="s">
        <v>40</v>
      </c>
      <c r="G30" s="3"/>
      <c r="H30" s="3"/>
      <c r="I30" s="3">
        <v>1</v>
      </c>
    </row>
    <row r="31" spans="1:9" ht="19.5" customHeight="1" x14ac:dyDescent="0.3">
      <c r="F31" s="1"/>
      <c r="G31" s="3"/>
      <c r="H31" s="3"/>
      <c r="I31" s="3"/>
    </row>
    <row r="32" spans="1:9" ht="19.5" customHeight="1" x14ac:dyDescent="0.3">
      <c r="D32"/>
      <c r="F32" s="2" t="s">
        <v>2</v>
      </c>
      <c r="G32" s="3" t="s">
        <v>4</v>
      </c>
      <c r="H32" s="3" t="s">
        <v>5</v>
      </c>
      <c r="I32" s="3" t="s">
        <v>10</v>
      </c>
    </row>
    <row r="33" spans="4:9" ht="19.5" customHeight="1" x14ac:dyDescent="0.3">
      <c r="D33"/>
      <c r="F33" s="1" t="s">
        <v>44</v>
      </c>
      <c r="G33" s="3"/>
      <c r="H33" s="3"/>
      <c r="I33" s="3">
        <v>141</v>
      </c>
    </row>
    <row r="34" spans="4:9" ht="19.5" customHeight="1" x14ac:dyDescent="0.3">
      <c r="F34" s="1" t="s">
        <v>31</v>
      </c>
      <c r="G34" s="3"/>
      <c r="H34" s="3"/>
      <c r="I34" s="3">
        <v>70</v>
      </c>
    </row>
    <row r="35" spans="4:9" ht="19.5" customHeight="1" x14ac:dyDescent="0.3">
      <c r="F35" s="1"/>
      <c r="G35" s="3"/>
      <c r="H35" s="3"/>
      <c r="I35" s="3"/>
    </row>
    <row r="36" spans="4:9" x14ac:dyDescent="0.3">
      <c r="G36"/>
      <c r="H36"/>
      <c r="I36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76D0-9515-4E93-BE93-E3B91B2595E4}">
  <sheetPr>
    <pageSetUpPr fitToPage="1"/>
  </sheetPr>
  <dimension ref="A1:K66"/>
  <sheetViews>
    <sheetView tabSelected="1" topLeftCell="A31" workbookViewId="0">
      <selection activeCell="P51" sqref="P51"/>
    </sheetView>
  </sheetViews>
  <sheetFormatPr defaultRowHeight="14.25" customHeight="1" x14ac:dyDescent="0.3"/>
  <cols>
    <col min="1" max="1" width="10.625" style="11" customWidth="1"/>
    <col min="2" max="2" width="5.5" style="11" customWidth="1"/>
    <col min="3" max="3" width="9.875" style="11" customWidth="1"/>
    <col min="4" max="4" width="9" style="11"/>
    <col min="5" max="5" width="10.625" style="11" customWidth="1"/>
    <col min="6" max="6" width="5.5" style="11" customWidth="1"/>
    <col min="7" max="7" width="9.875" style="11" customWidth="1"/>
    <col min="8" max="8" width="9" style="11"/>
    <col min="9" max="9" width="10.625" style="11" customWidth="1"/>
    <col min="10" max="10" width="5.5" style="11" customWidth="1"/>
    <col min="11" max="11" width="9.875" style="11" customWidth="1"/>
    <col min="12" max="16384" width="9" style="11"/>
  </cols>
  <sheetData>
    <row r="1" spans="1:11" ht="14.25" customHeight="1" x14ac:dyDescent="0.3">
      <c r="A1" s="10" t="s">
        <v>16</v>
      </c>
      <c r="B1" s="11" t="s">
        <v>293</v>
      </c>
      <c r="C1" s="11" t="s">
        <v>289</v>
      </c>
      <c r="E1" s="10" t="s">
        <v>2</v>
      </c>
      <c r="F1" s="11" t="s">
        <v>297</v>
      </c>
      <c r="G1" s="11" t="s">
        <v>289</v>
      </c>
      <c r="I1" s="10" t="s">
        <v>308</v>
      </c>
      <c r="J1" s="11" t="s">
        <v>303</v>
      </c>
      <c r="K1" s="11" t="s">
        <v>309</v>
      </c>
    </row>
    <row r="2" spans="1:11" ht="14.25" customHeight="1" x14ac:dyDescent="0.3">
      <c r="A2" s="11" t="s">
        <v>24</v>
      </c>
      <c r="B2" s="11" t="s">
        <v>203</v>
      </c>
      <c r="C2" s="11" t="s">
        <v>301</v>
      </c>
      <c r="E2" s="11" t="s">
        <v>294</v>
      </c>
      <c r="F2" s="11" t="s">
        <v>123</v>
      </c>
      <c r="G2" s="11" t="s">
        <v>144</v>
      </c>
      <c r="I2" s="11" t="s">
        <v>96</v>
      </c>
      <c r="J2" s="11" t="s">
        <v>146</v>
      </c>
      <c r="K2" s="11" t="s">
        <v>301</v>
      </c>
    </row>
    <row r="3" spans="1:11" ht="14.25" customHeight="1" x14ac:dyDescent="0.3">
      <c r="A3" s="11" t="s">
        <v>25</v>
      </c>
      <c r="B3" s="11" t="s">
        <v>170</v>
      </c>
      <c r="C3" s="11" t="s">
        <v>269</v>
      </c>
      <c r="E3" s="11" t="s">
        <v>273</v>
      </c>
      <c r="F3" s="11" t="s">
        <v>139</v>
      </c>
      <c r="G3" s="11" t="s">
        <v>292</v>
      </c>
      <c r="I3" s="11" t="s">
        <v>68</v>
      </c>
      <c r="J3" s="11" t="s">
        <v>146</v>
      </c>
      <c r="K3" s="11" t="s">
        <v>301</v>
      </c>
    </row>
    <row r="4" spans="1:11" ht="14.25" customHeight="1" x14ac:dyDescent="0.3">
      <c r="A4" s="11" t="s">
        <v>273</v>
      </c>
      <c r="B4" s="11" t="s">
        <v>146</v>
      </c>
      <c r="C4" s="11" t="s">
        <v>276</v>
      </c>
      <c r="I4" s="11" t="s">
        <v>69</v>
      </c>
      <c r="J4" s="11" t="s">
        <v>116</v>
      </c>
      <c r="K4" s="11" t="s">
        <v>310</v>
      </c>
    </row>
    <row r="5" spans="1:11" ht="14.25" customHeight="1" x14ac:dyDescent="0.3">
      <c r="E5" s="10" t="s">
        <v>109</v>
      </c>
      <c r="F5" s="11" t="s">
        <v>299</v>
      </c>
      <c r="G5" s="11" t="s">
        <v>296</v>
      </c>
      <c r="I5" s="11" t="s">
        <v>70</v>
      </c>
      <c r="J5" s="11" t="s">
        <v>237</v>
      </c>
      <c r="K5" s="11" t="s">
        <v>311</v>
      </c>
    </row>
    <row r="6" spans="1:11" ht="14.25" customHeight="1" x14ac:dyDescent="0.3">
      <c r="A6" s="10" t="s">
        <v>275</v>
      </c>
      <c r="B6" s="11" t="s">
        <v>293</v>
      </c>
      <c r="C6" s="11" t="s">
        <v>289</v>
      </c>
      <c r="E6" s="11" t="s">
        <v>294</v>
      </c>
      <c r="F6" s="11" t="s">
        <v>123</v>
      </c>
      <c r="G6" s="11" t="s">
        <v>124</v>
      </c>
      <c r="I6" s="11" t="s">
        <v>11</v>
      </c>
      <c r="J6" s="11" t="s">
        <v>170</v>
      </c>
      <c r="K6" s="11" t="s">
        <v>276</v>
      </c>
    </row>
    <row r="7" spans="1:11" ht="14.25" customHeight="1" x14ac:dyDescent="0.3">
      <c r="A7" s="11" t="s">
        <v>96</v>
      </c>
      <c r="B7" s="11" t="s">
        <v>170</v>
      </c>
      <c r="C7" s="11" t="s">
        <v>269</v>
      </c>
      <c r="E7" s="11" t="s">
        <v>108</v>
      </c>
      <c r="F7" s="11" t="s">
        <v>295</v>
      </c>
      <c r="G7" s="11" t="s">
        <v>150</v>
      </c>
      <c r="I7" s="11" t="s">
        <v>42</v>
      </c>
      <c r="J7" s="11" t="s">
        <v>238</v>
      </c>
      <c r="K7" s="11" t="s">
        <v>312</v>
      </c>
    </row>
    <row r="8" spans="1:11" ht="14.25" customHeight="1" x14ac:dyDescent="0.3">
      <c r="A8" s="11" t="s">
        <v>42</v>
      </c>
      <c r="B8" s="11" t="s">
        <v>170</v>
      </c>
      <c r="C8" s="11" t="s">
        <v>269</v>
      </c>
      <c r="E8" s="11" t="s">
        <v>273</v>
      </c>
      <c r="F8" s="11" t="s">
        <v>295</v>
      </c>
      <c r="G8" s="11" t="s">
        <v>150</v>
      </c>
      <c r="I8" s="11" t="s">
        <v>71</v>
      </c>
      <c r="J8" s="11" t="s">
        <v>116</v>
      </c>
      <c r="K8" s="11" t="s">
        <v>310</v>
      </c>
    </row>
    <row r="9" spans="1:11" ht="14.25" customHeight="1" x14ac:dyDescent="0.3">
      <c r="A9" s="11" t="s">
        <v>11</v>
      </c>
      <c r="B9" s="11" t="s">
        <v>119</v>
      </c>
      <c r="C9" s="11" t="s">
        <v>115</v>
      </c>
      <c r="I9" s="11" t="s">
        <v>72</v>
      </c>
      <c r="J9" s="11" t="s">
        <v>239</v>
      </c>
      <c r="K9" s="11" t="s">
        <v>287</v>
      </c>
    </row>
    <row r="10" spans="1:11" ht="14.25" customHeight="1" x14ac:dyDescent="0.3">
      <c r="A10" s="11" t="s">
        <v>70</v>
      </c>
      <c r="B10" s="11" t="s">
        <v>170</v>
      </c>
      <c r="C10" s="11" t="s">
        <v>269</v>
      </c>
      <c r="E10" s="10" t="s">
        <v>103</v>
      </c>
      <c r="F10" s="11" t="s">
        <v>290</v>
      </c>
      <c r="G10" s="11" t="s">
        <v>281</v>
      </c>
      <c r="I10" s="11" t="s">
        <v>73</v>
      </c>
      <c r="J10" s="11" t="s">
        <v>240</v>
      </c>
      <c r="K10" s="11" t="s">
        <v>313</v>
      </c>
    </row>
    <row r="11" spans="1:11" ht="14.25" customHeight="1" x14ac:dyDescent="0.3">
      <c r="A11" s="11" t="s">
        <v>99</v>
      </c>
      <c r="B11" s="11" t="s">
        <v>119</v>
      </c>
      <c r="C11" s="11" t="s">
        <v>115</v>
      </c>
      <c r="E11" s="11" t="s">
        <v>298</v>
      </c>
      <c r="F11" s="11" t="s">
        <v>119</v>
      </c>
      <c r="G11" s="11" t="s">
        <v>276</v>
      </c>
      <c r="I11" s="11" t="s">
        <v>74</v>
      </c>
      <c r="J11" s="11" t="s">
        <v>129</v>
      </c>
      <c r="K11" s="11" t="s">
        <v>117</v>
      </c>
    </row>
    <row r="12" spans="1:11" ht="14.25" customHeight="1" x14ac:dyDescent="0.3">
      <c r="A12" s="11" t="s">
        <v>71</v>
      </c>
      <c r="B12" s="11" t="s">
        <v>120</v>
      </c>
      <c r="C12" s="11" t="s">
        <v>139</v>
      </c>
      <c r="E12" s="11" t="s">
        <v>74</v>
      </c>
      <c r="F12" s="11" t="s">
        <v>171</v>
      </c>
      <c r="G12" s="11" t="s">
        <v>116</v>
      </c>
    </row>
    <row r="13" spans="1:11" ht="14.25" customHeight="1" x14ac:dyDescent="0.3">
      <c r="E13" s="11" t="s">
        <v>34</v>
      </c>
      <c r="F13" s="11" t="s">
        <v>171</v>
      </c>
      <c r="G13" s="11" t="s">
        <v>116</v>
      </c>
      <c r="I13" s="10" t="s">
        <v>314</v>
      </c>
      <c r="J13" s="11" t="s">
        <v>297</v>
      </c>
      <c r="K13" s="11" t="s">
        <v>289</v>
      </c>
    </row>
    <row r="14" spans="1:11" ht="14.25" customHeight="1" x14ac:dyDescent="0.3">
      <c r="A14" s="10" t="s">
        <v>277</v>
      </c>
      <c r="B14" s="11" t="s">
        <v>290</v>
      </c>
      <c r="C14" s="11" t="s">
        <v>281</v>
      </c>
      <c r="E14" s="11" t="s">
        <v>31</v>
      </c>
      <c r="F14" s="11" t="s">
        <v>170</v>
      </c>
      <c r="G14" s="11" t="s">
        <v>301</v>
      </c>
      <c r="I14" s="11" t="s">
        <v>315</v>
      </c>
      <c r="J14" s="11" t="s">
        <v>123</v>
      </c>
      <c r="K14" s="11" t="s">
        <v>144</v>
      </c>
    </row>
    <row r="15" spans="1:11" ht="14.25" customHeight="1" x14ac:dyDescent="0.3">
      <c r="A15" s="11" t="s">
        <v>31</v>
      </c>
      <c r="B15" s="11" t="s">
        <v>291</v>
      </c>
      <c r="C15" s="11" t="s">
        <v>279</v>
      </c>
      <c r="I15" s="11" t="s">
        <v>275</v>
      </c>
      <c r="J15" s="11" t="s">
        <v>117</v>
      </c>
      <c r="K15" s="11" t="s">
        <v>124</v>
      </c>
    </row>
    <row r="16" spans="1:11" ht="14.25" customHeight="1" x14ac:dyDescent="0.3">
      <c r="A16" s="11" t="s">
        <v>278</v>
      </c>
      <c r="B16" s="11" t="s">
        <v>128</v>
      </c>
      <c r="C16" s="11" t="s">
        <v>280</v>
      </c>
      <c r="E16" s="10" t="s">
        <v>273</v>
      </c>
      <c r="F16" s="11" t="s">
        <v>299</v>
      </c>
      <c r="G16" s="11" t="s">
        <v>281</v>
      </c>
      <c r="I16" s="11" t="s">
        <v>316</v>
      </c>
      <c r="J16" s="11" t="s">
        <v>121</v>
      </c>
      <c r="K16" s="11" t="s">
        <v>139</v>
      </c>
    </row>
    <row r="17" spans="1:11" ht="14.25" customHeight="1" x14ac:dyDescent="0.3">
      <c r="A17" s="11" t="s">
        <v>46</v>
      </c>
      <c r="B17" s="11" t="s">
        <v>128</v>
      </c>
      <c r="C17" s="11" t="s">
        <v>117</v>
      </c>
      <c r="E17" s="11" t="s">
        <v>31</v>
      </c>
      <c r="F17" s="11" t="s">
        <v>144</v>
      </c>
      <c r="G17" s="11" t="s">
        <v>300</v>
      </c>
    </row>
    <row r="18" spans="1:11" ht="14.25" customHeight="1" x14ac:dyDescent="0.3">
      <c r="E18" s="11" t="s">
        <v>278</v>
      </c>
      <c r="F18" s="11" t="s">
        <v>224</v>
      </c>
      <c r="G18" s="11" t="s">
        <v>285</v>
      </c>
      <c r="I18" s="10" t="s">
        <v>317</v>
      </c>
      <c r="J18" s="11" t="s">
        <v>323</v>
      </c>
      <c r="K18" s="11" t="s">
        <v>289</v>
      </c>
    </row>
    <row r="19" spans="1:11" ht="14.25" customHeight="1" x14ac:dyDescent="0.3">
      <c r="A19" s="10" t="s">
        <v>282</v>
      </c>
      <c r="B19" s="11" t="s">
        <v>293</v>
      </c>
      <c r="C19" s="11" t="s">
        <v>283</v>
      </c>
      <c r="I19" s="11" t="s">
        <v>68</v>
      </c>
      <c r="J19" s="11" t="s">
        <v>115</v>
      </c>
      <c r="K19" s="11" t="s">
        <v>324</v>
      </c>
    </row>
    <row r="20" spans="1:11" ht="14.25" customHeight="1" x14ac:dyDescent="0.3">
      <c r="A20" s="11" t="s">
        <v>31</v>
      </c>
      <c r="B20" s="11" t="s">
        <v>292</v>
      </c>
      <c r="C20" s="11" t="s">
        <v>284</v>
      </c>
      <c r="E20" s="10" t="s">
        <v>302</v>
      </c>
      <c r="F20" s="11" t="s">
        <v>303</v>
      </c>
      <c r="G20" s="11" t="s">
        <v>281</v>
      </c>
      <c r="I20" s="11" t="s">
        <v>42</v>
      </c>
      <c r="J20" s="11" t="s">
        <v>115</v>
      </c>
      <c r="K20" s="11" t="s">
        <v>324</v>
      </c>
    </row>
    <row r="21" spans="1:11" ht="14.25" customHeight="1" x14ac:dyDescent="0.3">
      <c r="A21" s="11" t="s">
        <v>278</v>
      </c>
      <c r="B21" s="11" t="s">
        <v>128</v>
      </c>
      <c r="C21" s="11" t="s">
        <v>285</v>
      </c>
      <c r="E21" s="11" t="s">
        <v>31</v>
      </c>
      <c r="F21" s="11" t="s">
        <v>257</v>
      </c>
      <c r="G21" s="11" t="s">
        <v>279</v>
      </c>
      <c r="I21" s="11" t="s">
        <v>180</v>
      </c>
      <c r="J21" s="11" t="s">
        <v>170</v>
      </c>
      <c r="K21" s="11" t="s">
        <v>257</v>
      </c>
    </row>
    <row r="22" spans="1:11" ht="14.25" customHeight="1" x14ac:dyDescent="0.3">
      <c r="A22" s="11" t="s">
        <v>46</v>
      </c>
      <c r="B22" s="11" t="s">
        <v>129</v>
      </c>
      <c r="C22" s="11" t="s">
        <v>116</v>
      </c>
      <c r="E22" s="11" t="s">
        <v>278</v>
      </c>
      <c r="F22" s="11" t="s">
        <v>224</v>
      </c>
      <c r="G22" s="11" t="s">
        <v>304</v>
      </c>
      <c r="I22" s="11" t="s">
        <v>318</v>
      </c>
      <c r="J22" s="11" t="s">
        <v>322</v>
      </c>
      <c r="K22" s="11" t="s">
        <v>325</v>
      </c>
    </row>
    <row r="23" spans="1:11" ht="14.25" customHeight="1" x14ac:dyDescent="0.3">
      <c r="E23" s="11" t="s">
        <v>46</v>
      </c>
      <c r="F23" s="11" t="s">
        <v>120</v>
      </c>
      <c r="G23" s="11" t="s">
        <v>123</v>
      </c>
      <c r="I23" s="11" t="s">
        <v>74</v>
      </c>
      <c r="J23" s="11" t="s">
        <v>170</v>
      </c>
      <c r="K23" s="11" t="s">
        <v>257</v>
      </c>
    </row>
    <row r="24" spans="1:11" ht="14.25" customHeight="1" x14ac:dyDescent="0.3">
      <c r="A24" s="10" t="s">
        <v>181</v>
      </c>
      <c r="B24" s="11" t="s">
        <v>286</v>
      </c>
      <c r="C24" s="11" t="s">
        <v>281</v>
      </c>
      <c r="I24" s="11" t="s">
        <v>319</v>
      </c>
      <c r="J24" s="11" t="s">
        <v>170</v>
      </c>
      <c r="K24" s="11" t="s">
        <v>257</v>
      </c>
    </row>
    <row r="25" spans="1:11" ht="14.25" customHeight="1" x14ac:dyDescent="0.3">
      <c r="A25" s="11" t="s">
        <v>79</v>
      </c>
      <c r="B25" s="11" t="s">
        <v>146</v>
      </c>
      <c r="C25" s="11" t="s">
        <v>287</v>
      </c>
      <c r="E25" s="10" t="s">
        <v>305</v>
      </c>
      <c r="F25" s="11" t="s">
        <v>297</v>
      </c>
      <c r="G25" s="11" t="s">
        <v>306</v>
      </c>
      <c r="I25" s="11" t="s">
        <v>320</v>
      </c>
      <c r="J25" s="11" t="s">
        <v>259</v>
      </c>
      <c r="K25" s="11" t="s">
        <v>326</v>
      </c>
    </row>
    <row r="26" spans="1:11" ht="14.25" customHeight="1" x14ac:dyDescent="0.3">
      <c r="A26" s="11" t="s">
        <v>89</v>
      </c>
      <c r="B26" s="11" t="s">
        <v>150</v>
      </c>
      <c r="C26" s="11" t="s">
        <v>124</v>
      </c>
      <c r="E26" s="11" t="s">
        <v>31</v>
      </c>
      <c r="F26" s="11" t="s">
        <v>144</v>
      </c>
      <c r="G26" s="11" t="s">
        <v>284</v>
      </c>
      <c r="I26" s="11" t="s">
        <v>321</v>
      </c>
      <c r="J26" s="11" t="s">
        <v>170</v>
      </c>
      <c r="K26" s="11" t="s">
        <v>257</v>
      </c>
    </row>
    <row r="27" spans="1:11" ht="14.25" customHeight="1" x14ac:dyDescent="0.3">
      <c r="A27" s="11" t="s">
        <v>42</v>
      </c>
      <c r="B27" s="11" t="s">
        <v>150</v>
      </c>
      <c r="C27" s="11" t="s">
        <v>124</v>
      </c>
      <c r="E27" s="11" t="s">
        <v>278</v>
      </c>
      <c r="F27" s="11" t="s">
        <v>224</v>
      </c>
      <c r="G27" s="11" t="s">
        <v>307</v>
      </c>
    </row>
    <row r="28" spans="1:11" ht="14.25" customHeight="1" x14ac:dyDescent="0.3">
      <c r="A28" s="11" t="s">
        <v>31</v>
      </c>
      <c r="B28" s="11" t="s">
        <v>146</v>
      </c>
      <c r="C28" s="11" t="s">
        <v>287</v>
      </c>
      <c r="E28" s="11" t="s">
        <v>46</v>
      </c>
      <c r="F28" s="11" t="s">
        <v>120</v>
      </c>
      <c r="G28" s="11" t="s">
        <v>150</v>
      </c>
      <c r="I28" s="10" t="s">
        <v>327</v>
      </c>
      <c r="J28" s="11" t="s">
        <v>299</v>
      </c>
      <c r="K28" s="11" t="s">
        <v>400</v>
      </c>
    </row>
    <row r="29" spans="1:11" ht="14.25" customHeight="1" x14ac:dyDescent="0.3">
      <c r="A29" s="11" t="s">
        <v>188</v>
      </c>
      <c r="B29" s="11" t="s">
        <v>170</v>
      </c>
      <c r="C29" s="11" t="s">
        <v>288</v>
      </c>
      <c r="I29" s="11" t="s">
        <v>328</v>
      </c>
      <c r="J29" s="11" t="s">
        <v>269</v>
      </c>
      <c r="K29" s="11" t="s">
        <v>276</v>
      </c>
    </row>
    <row r="30" spans="1:11" ht="14.25" customHeight="1" x14ac:dyDescent="0.3">
      <c r="E30" s="10" t="s">
        <v>418</v>
      </c>
      <c r="F30" s="11" t="s">
        <v>426</v>
      </c>
      <c r="G30" s="11" t="s">
        <v>400</v>
      </c>
      <c r="I30" s="11" t="s">
        <v>69</v>
      </c>
      <c r="J30" s="11" t="s">
        <v>150</v>
      </c>
      <c r="K30" s="11" t="s">
        <v>139</v>
      </c>
    </row>
    <row r="31" spans="1:11" ht="14.25" customHeight="1" x14ac:dyDescent="0.3">
      <c r="A31" s="10" t="s">
        <v>402</v>
      </c>
      <c r="B31" s="11" t="s">
        <v>405</v>
      </c>
      <c r="C31" s="11" t="s">
        <v>400</v>
      </c>
      <c r="E31" s="11" t="s">
        <v>359</v>
      </c>
      <c r="F31" s="11" t="s">
        <v>276</v>
      </c>
      <c r="G31" s="11" t="s">
        <v>276</v>
      </c>
      <c r="I31" s="11" t="s">
        <v>42</v>
      </c>
      <c r="J31" s="11" t="s">
        <v>330</v>
      </c>
      <c r="K31" s="11" t="s">
        <v>401</v>
      </c>
    </row>
    <row r="32" spans="1:11" ht="14.25" customHeight="1" x14ac:dyDescent="0.3">
      <c r="A32" s="11" t="s">
        <v>403</v>
      </c>
      <c r="B32" s="11" t="s">
        <v>331</v>
      </c>
      <c r="C32" s="11" t="s">
        <v>406</v>
      </c>
      <c r="E32" s="11" t="s">
        <v>11</v>
      </c>
      <c r="F32" s="11" t="s">
        <v>146</v>
      </c>
      <c r="G32" s="11" t="s">
        <v>146</v>
      </c>
      <c r="I32" s="11" t="s">
        <v>329</v>
      </c>
      <c r="J32" s="11" t="s">
        <v>331</v>
      </c>
      <c r="K32" s="11" t="s">
        <v>292</v>
      </c>
    </row>
    <row r="33" spans="1:11" ht="14.25" customHeight="1" x14ac:dyDescent="0.3">
      <c r="A33" s="11" t="s">
        <v>404</v>
      </c>
      <c r="B33" s="11" t="s">
        <v>295</v>
      </c>
      <c r="C33" s="11" t="s">
        <v>407</v>
      </c>
      <c r="E33" s="11" t="s">
        <v>42</v>
      </c>
      <c r="F33" s="11" t="s">
        <v>203</v>
      </c>
      <c r="G33" s="11" t="s">
        <v>203</v>
      </c>
      <c r="I33" s="11" t="s">
        <v>99</v>
      </c>
      <c r="J33" s="11" t="s">
        <v>170</v>
      </c>
      <c r="K33" s="11" t="s">
        <v>146</v>
      </c>
    </row>
    <row r="34" spans="1:11" ht="14.25" customHeight="1" x14ac:dyDescent="0.3">
      <c r="A34" s="11" t="s">
        <v>72</v>
      </c>
      <c r="B34" s="11" t="s">
        <v>120</v>
      </c>
      <c r="C34" s="11" t="s">
        <v>257</v>
      </c>
      <c r="E34" s="11" t="s">
        <v>360</v>
      </c>
      <c r="F34" s="11" t="s">
        <v>369</v>
      </c>
      <c r="G34" s="11" t="s">
        <v>369</v>
      </c>
      <c r="I34" s="11" t="s">
        <v>71</v>
      </c>
      <c r="J34" s="11" t="s">
        <v>170</v>
      </c>
      <c r="K34" s="11" t="s">
        <v>146</v>
      </c>
    </row>
    <row r="35" spans="1:11" ht="14.25" customHeight="1" x14ac:dyDescent="0.3">
      <c r="A35" s="11" t="s">
        <v>385</v>
      </c>
      <c r="B35" s="11" t="s">
        <v>357</v>
      </c>
      <c r="C35" s="11" t="s">
        <v>291</v>
      </c>
      <c r="E35" s="11" t="s">
        <v>328</v>
      </c>
      <c r="F35" s="11" t="s">
        <v>139</v>
      </c>
      <c r="G35" s="11" t="s">
        <v>139</v>
      </c>
      <c r="I35" s="11" t="s">
        <v>11</v>
      </c>
      <c r="J35" s="11" t="s">
        <v>116</v>
      </c>
      <c r="K35" s="11" t="s">
        <v>117</v>
      </c>
    </row>
    <row r="36" spans="1:11" ht="14.25" customHeight="1" x14ac:dyDescent="0.3">
      <c r="A36" s="11" t="s">
        <v>31</v>
      </c>
      <c r="B36" s="11" t="s">
        <v>139</v>
      </c>
      <c r="C36" s="11" t="s">
        <v>408</v>
      </c>
      <c r="E36" s="11" t="s">
        <v>361</v>
      </c>
      <c r="F36" s="11" t="s">
        <v>117</v>
      </c>
      <c r="G36" s="11" t="s">
        <v>117</v>
      </c>
      <c r="I36" s="11" t="s">
        <v>332</v>
      </c>
      <c r="J36" s="11" t="s">
        <v>150</v>
      </c>
      <c r="K36" s="11" t="s">
        <v>139</v>
      </c>
    </row>
    <row r="37" spans="1:11" ht="14.25" customHeight="1" x14ac:dyDescent="0.3">
      <c r="A37" s="11" t="s">
        <v>68</v>
      </c>
      <c r="B37" s="11" t="s">
        <v>386</v>
      </c>
      <c r="C37" s="11" t="s">
        <v>409</v>
      </c>
      <c r="E37" s="11" t="s">
        <v>68</v>
      </c>
      <c r="F37" s="11" t="s">
        <v>150</v>
      </c>
      <c r="G37" s="11" t="s">
        <v>150</v>
      </c>
      <c r="I37" s="11" t="s">
        <v>333</v>
      </c>
      <c r="J37" s="11" t="s">
        <v>226</v>
      </c>
      <c r="K37" s="11" t="s">
        <v>224</v>
      </c>
    </row>
    <row r="38" spans="1:11" ht="14.25" customHeight="1" x14ac:dyDescent="0.3">
      <c r="A38" s="11" t="s">
        <v>72</v>
      </c>
      <c r="B38" s="11" t="s">
        <v>110</v>
      </c>
      <c r="C38" s="11" t="s">
        <v>410</v>
      </c>
      <c r="E38" s="11" t="s">
        <v>419</v>
      </c>
      <c r="F38" s="11" t="s">
        <v>120</v>
      </c>
      <c r="G38" s="11" t="s">
        <v>120</v>
      </c>
      <c r="I38" s="11" t="s">
        <v>31</v>
      </c>
      <c r="J38" s="11" t="s">
        <v>269</v>
      </c>
      <c r="K38" s="11" t="s">
        <v>276</v>
      </c>
    </row>
    <row r="39" spans="1:11" ht="14.25" customHeight="1" x14ac:dyDescent="0.3">
      <c r="A39" s="11" t="s">
        <v>40</v>
      </c>
      <c r="B39" s="11" t="s">
        <v>386</v>
      </c>
      <c r="C39" s="11" t="s">
        <v>411</v>
      </c>
      <c r="E39" s="11" t="s">
        <v>236</v>
      </c>
      <c r="F39" s="11" t="s">
        <v>370</v>
      </c>
      <c r="G39" s="11" t="s">
        <v>370</v>
      </c>
      <c r="I39" s="11" t="s">
        <v>334</v>
      </c>
      <c r="J39" s="11" t="s">
        <v>110</v>
      </c>
      <c r="K39" s="11" t="s">
        <v>125</v>
      </c>
    </row>
    <row r="40" spans="1:11" ht="14.25" customHeight="1" x14ac:dyDescent="0.3">
      <c r="E40" s="11" t="s">
        <v>34</v>
      </c>
      <c r="F40" s="11" t="s">
        <v>119</v>
      </c>
      <c r="G40" s="11" t="s">
        <v>119</v>
      </c>
    </row>
    <row r="41" spans="1:11" ht="14.25" customHeight="1" x14ac:dyDescent="0.3">
      <c r="A41" s="10" t="s">
        <v>339</v>
      </c>
      <c r="B41" s="11" t="s">
        <v>323</v>
      </c>
      <c r="E41" s="11" t="s">
        <v>363</v>
      </c>
      <c r="F41" s="11" t="s">
        <v>269</v>
      </c>
      <c r="G41" s="11" t="s">
        <v>269</v>
      </c>
      <c r="I41" s="10" t="s">
        <v>427</v>
      </c>
      <c r="J41" s="11" t="s">
        <v>297</v>
      </c>
      <c r="K41" s="11" t="s">
        <v>400</v>
      </c>
    </row>
    <row r="42" spans="1:11" ht="14.25" customHeight="1" x14ac:dyDescent="0.3">
      <c r="A42" s="11" t="s">
        <v>31</v>
      </c>
      <c r="B42" s="11" t="s">
        <v>416</v>
      </c>
      <c r="C42" s="11" t="s">
        <v>414</v>
      </c>
      <c r="E42" s="11" t="s">
        <v>364</v>
      </c>
      <c r="F42" s="11" t="s">
        <v>371</v>
      </c>
      <c r="G42" s="11" t="s">
        <v>371</v>
      </c>
      <c r="I42" s="11" t="s">
        <v>428</v>
      </c>
      <c r="J42" s="11" t="s">
        <v>139</v>
      </c>
      <c r="K42" s="11" t="s">
        <v>292</v>
      </c>
    </row>
    <row r="43" spans="1:11" ht="14.25" customHeight="1" x14ac:dyDescent="0.3">
      <c r="A43" s="11" t="s">
        <v>412</v>
      </c>
      <c r="B43" s="11" t="s">
        <v>170</v>
      </c>
      <c r="C43" s="11" t="s">
        <v>257</v>
      </c>
      <c r="E43" s="11" t="s">
        <v>365</v>
      </c>
      <c r="F43" s="11" t="s">
        <v>123</v>
      </c>
      <c r="G43" s="11" t="s">
        <v>123</v>
      </c>
      <c r="I43" s="11" t="s">
        <v>429</v>
      </c>
      <c r="J43" s="11" t="s">
        <v>139</v>
      </c>
      <c r="K43" s="11" t="s">
        <v>292</v>
      </c>
    </row>
    <row r="44" spans="1:11" ht="14.25" customHeight="1" x14ac:dyDescent="0.3">
      <c r="A44" s="11" t="s">
        <v>413</v>
      </c>
      <c r="B44" s="11" t="s">
        <v>150</v>
      </c>
      <c r="C44" s="11" t="s">
        <v>115</v>
      </c>
      <c r="E44" s="11" t="s">
        <v>366</v>
      </c>
      <c r="F44" s="11" t="s">
        <v>372</v>
      </c>
      <c r="G44" s="11" t="s">
        <v>372</v>
      </c>
      <c r="I44" s="11" t="s">
        <v>430</v>
      </c>
      <c r="J44" s="11" t="s">
        <v>139</v>
      </c>
      <c r="K44" s="11" t="s">
        <v>292</v>
      </c>
    </row>
    <row r="45" spans="1:11" ht="14.25" customHeight="1" x14ac:dyDescent="0.3">
      <c r="A45" s="11" t="s">
        <v>391</v>
      </c>
      <c r="B45" s="11" t="s">
        <v>124</v>
      </c>
      <c r="C45" s="11" t="s">
        <v>301</v>
      </c>
      <c r="E45" s="11" t="s">
        <v>420</v>
      </c>
      <c r="F45" s="11" t="s">
        <v>373</v>
      </c>
      <c r="G45" s="11" t="s">
        <v>373</v>
      </c>
      <c r="I45" s="11" t="s">
        <v>273</v>
      </c>
      <c r="J45" s="11" t="s">
        <v>431</v>
      </c>
      <c r="K45" s="11" t="s">
        <v>433</v>
      </c>
    </row>
    <row r="46" spans="1:11" ht="14.25" customHeight="1" x14ac:dyDescent="0.3">
      <c r="A46" s="11" t="s">
        <v>392</v>
      </c>
      <c r="B46" s="11" t="s">
        <v>123</v>
      </c>
      <c r="C46" s="11" t="s">
        <v>276</v>
      </c>
      <c r="E46" s="11" t="s">
        <v>329</v>
      </c>
      <c r="F46" s="11" t="s">
        <v>269</v>
      </c>
      <c r="G46" s="11" t="s">
        <v>269</v>
      </c>
      <c r="I46" s="11" t="s">
        <v>74</v>
      </c>
      <c r="J46" s="11" t="s">
        <v>171</v>
      </c>
      <c r="K46" s="11" t="s">
        <v>357</v>
      </c>
    </row>
    <row r="47" spans="1:11" ht="14.25" customHeight="1" x14ac:dyDescent="0.3">
      <c r="A47" s="11" t="s">
        <v>393</v>
      </c>
      <c r="B47" s="11" t="s">
        <v>139</v>
      </c>
      <c r="C47" s="11" t="s">
        <v>269</v>
      </c>
      <c r="E47" s="11" t="s">
        <v>92</v>
      </c>
      <c r="F47" s="11" t="s">
        <v>224</v>
      </c>
      <c r="G47" s="11" t="s">
        <v>424</v>
      </c>
      <c r="I47" s="11" t="s">
        <v>42</v>
      </c>
      <c r="J47" s="11" t="s">
        <v>171</v>
      </c>
      <c r="K47" s="11" t="s">
        <v>357</v>
      </c>
    </row>
    <row r="48" spans="1:11" ht="14.25" customHeight="1" x14ac:dyDescent="0.3">
      <c r="A48" s="11" t="s">
        <v>328</v>
      </c>
      <c r="B48" s="11" t="s">
        <v>139</v>
      </c>
      <c r="C48" s="11" t="s">
        <v>269</v>
      </c>
      <c r="E48" s="11" t="s">
        <v>368</v>
      </c>
      <c r="F48" s="11" t="s">
        <v>292</v>
      </c>
      <c r="G48" s="11" t="s">
        <v>425</v>
      </c>
      <c r="I48" s="11" t="s">
        <v>62</v>
      </c>
      <c r="J48" s="11" t="s">
        <v>121</v>
      </c>
      <c r="K48" s="11" t="s">
        <v>139</v>
      </c>
    </row>
    <row r="49" spans="1:11" ht="14.25" customHeight="1" x14ac:dyDescent="0.3">
      <c r="A49" s="11" t="s">
        <v>394</v>
      </c>
      <c r="B49" s="11" t="s">
        <v>150</v>
      </c>
      <c r="C49" s="11" t="s">
        <v>115</v>
      </c>
      <c r="I49" s="11" t="s">
        <v>88</v>
      </c>
      <c r="J49" s="11" t="s">
        <v>121</v>
      </c>
      <c r="K49" s="11" t="s">
        <v>139</v>
      </c>
    </row>
    <row r="50" spans="1:11" ht="14.25" customHeight="1" x14ac:dyDescent="0.3">
      <c r="A50" s="11" t="s">
        <v>390</v>
      </c>
      <c r="B50" s="11" t="s">
        <v>417</v>
      </c>
      <c r="C50" s="11" t="s">
        <v>415</v>
      </c>
      <c r="E50" s="10" t="s">
        <v>421</v>
      </c>
      <c r="F50" s="11" t="s">
        <v>323</v>
      </c>
      <c r="G50" s="11" t="s">
        <v>423</v>
      </c>
    </row>
    <row r="51" spans="1:11" ht="14.25" customHeight="1" x14ac:dyDescent="0.3">
      <c r="E51" s="11" t="s">
        <v>422</v>
      </c>
      <c r="F51" s="11" t="s">
        <v>139</v>
      </c>
      <c r="G51" s="11" t="s">
        <v>269</v>
      </c>
      <c r="I51" s="10" t="s">
        <v>335</v>
      </c>
      <c r="J51" s="11" t="s">
        <v>297</v>
      </c>
      <c r="K51" s="11" t="s">
        <v>289</v>
      </c>
    </row>
    <row r="52" spans="1:11" ht="14.25" customHeight="1" x14ac:dyDescent="0.3">
      <c r="A52" s="10" t="s">
        <v>316</v>
      </c>
      <c r="C52" s="11" t="s">
        <v>400</v>
      </c>
      <c r="E52" s="11" t="s">
        <v>69</v>
      </c>
      <c r="F52" s="11" t="s">
        <v>120</v>
      </c>
      <c r="G52" s="11" t="s">
        <v>170</v>
      </c>
      <c r="I52" s="11" t="s">
        <v>432</v>
      </c>
      <c r="J52" s="11" t="s">
        <v>123</v>
      </c>
      <c r="K52" s="11" t="s">
        <v>144</v>
      </c>
    </row>
    <row r="53" spans="1:11" ht="14.25" customHeight="1" x14ac:dyDescent="0.3">
      <c r="A53" s="11" t="s">
        <v>90</v>
      </c>
      <c r="C53" s="11" t="s">
        <v>441</v>
      </c>
      <c r="E53" s="11" t="s">
        <v>392</v>
      </c>
      <c r="F53" s="11" t="s">
        <v>120</v>
      </c>
      <c r="G53" s="11" t="s">
        <v>170</v>
      </c>
      <c r="I53" s="11" t="s">
        <v>344</v>
      </c>
      <c r="J53" s="11" t="s">
        <v>150</v>
      </c>
      <c r="K53" s="11" t="s">
        <v>331</v>
      </c>
    </row>
    <row r="54" spans="1:11" ht="14.25" customHeight="1" x14ac:dyDescent="0.3">
      <c r="A54" s="11" t="s">
        <v>434</v>
      </c>
      <c r="C54" s="11" t="s">
        <v>442</v>
      </c>
      <c r="E54" s="11" t="s">
        <v>11</v>
      </c>
      <c r="F54" s="11" t="s">
        <v>120</v>
      </c>
      <c r="G54" s="11" t="s">
        <v>170</v>
      </c>
      <c r="I54" s="11" t="s">
        <v>345</v>
      </c>
      <c r="J54" s="11" t="s">
        <v>150</v>
      </c>
      <c r="K54" s="11" t="s">
        <v>331</v>
      </c>
    </row>
    <row r="55" spans="1:11" ht="14.25" customHeight="1" x14ac:dyDescent="0.3">
      <c r="A55" s="11" t="s">
        <v>122</v>
      </c>
      <c r="C55" s="11" t="s">
        <v>442</v>
      </c>
      <c r="E55" s="11" t="s">
        <v>42</v>
      </c>
      <c r="F55" s="11" t="s">
        <v>116</v>
      </c>
      <c r="G55" s="11" t="s">
        <v>203</v>
      </c>
      <c r="I55" s="11" t="s">
        <v>346</v>
      </c>
      <c r="J55" s="11" t="s">
        <v>139</v>
      </c>
      <c r="K55" s="11" t="s">
        <v>292</v>
      </c>
    </row>
    <row r="56" spans="1:11" ht="14.25" customHeight="1" x14ac:dyDescent="0.3">
      <c r="A56" s="11" t="s">
        <v>435</v>
      </c>
      <c r="C56" s="11" t="s">
        <v>443</v>
      </c>
      <c r="E56" s="11" t="s">
        <v>72</v>
      </c>
      <c r="F56" s="11" t="s">
        <v>116</v>
      </c>
      <c r="G56" s="11" t="s">
        <v>203</v>
      </c>
    </row>
    <row r="57" spans="1:11" ht="14.25" customHeight="1" x14ac:dyDescent="0.3">
      <c r="A57" s="11" t="s">
        <v>436</v>
      </c>
      <c r="C57" s="11" t="s">
        <v>331</v>
      </c>
      <c r="I57" s="10" t="s">
        <v>450</v>
      </c>
      <c r="K57" s="11" t="s">
        <v>453</v>
      </c>
    </row>
    <row r="58" spans="1:11" ht="14.25" customHeight="1" x14ac:dyDescent="0.3">
      <c r="A58" s="11" t="s">
        <v>437</v>
      </c>
      <c r="C58" s="11" t="s">
        <v>125</v>
      </c>
      <c r="E58" s="10" t="s">
        <v>51</v>
      </c>
      <c r="I58" s="11" t="s">
        <v>91</v>
      </c>
      <c r="J58" s="11" t="s">
        <v>452</v>
      </c>
    </row>
    <row r="59" spans="1:11" ht="14.25" customHeight="1" x14ac:dyDescent="0.3">
      <c r="A59" s="11" t="s">
        <v>60</v>
      </c>
      <c r="C59" s="11" t="s">
        <v>444</v>
      </c>
      <c r="E59" s="11" t="s">
        <v>449</v>
      </c>
      <c r="F59" s="11" t="s">
        <v>123</v>
      </c>
      <c r="I59" s="11" t="s">
        <v>450</v>
      </c>
      <c r="J59" s="11" t="s">
        <v>121</v>
      </c>
    </row>
    <row r="60" spans="1:11" ht="14.25" customHeight="1" x14ac:dyDescent="0.3">
      <c r="A60" s="11" t="s">
        <v>42</v>
      </c>
      <c r="C60" s="11" t="s">
        <v>445</v>
      </c>
      <c r="E60" s="11" t="s">
        <v>42</v>
      </c>
      <c r="F60" s="11" t="s">
        <v>116</v>
      </c>
      <c r="I60" s="11" t="s">
        <v>451</v>
      </c>
      <c r="J60" s="11" t="s">
        <v>121</v>
      </c>
    </row>
    <row r="61" spans="1:11" ht="14.25" customHeight="1" x14ac:dyDescent="0.3">
      <c r="A61" s="11" t="s">
        <v>34</v>
      </c>
      <c r="C61" s="11" t="s">
        <v>444</v>
      </c>
      <c r="E61" s="11" t="s">
        <v>94</v>
      </c>
      <c r="F61" s="11" t="s">
        <v>247</v>
      </c>
      <c r="I61" s="11" t="s">
        <v>42</v>
      </c>
      <c r="J61" s="11" t="s">
        <v>322</v>
      </c>
    </row>
    <row r="62" spans="1:11" ht="14.25" customHeight="1" x14ac:dyDescent="0.3">
      <c r="A62" s="11" t="s">
        <v>438</v>
      </c>
      <c r="C62" s="11" t="s">
        <v>446</v>
      </c>
      <c r="E62" s="11" t="s">
        <v>209</v>
      </c>
      <c r="F62" s="11" t="s">
        <v>123</v>
      </c>
      <c r="I62" s="11" t="s">
        <v>11</v>
      </c>
      <c r="J62" s="11" t="s">
        <v>120</v>
      </c>
    </row>
    <row r="63" spans="1:11" ht="14.25" customHeight="1" x14ac:dyDescent="0.3">
      <c r="A63" s="11" t="s">
        <v>359</v>
      </c>
      <c r="C63" s="11" t="s">
        <v>447</v>
      </c>
      <c r="E63" s="11" t="s">
        <v>42</v>
      </c>
      <c r="F63" s="11" t="s">
        <v>121</v>
      </c>
    </row>
    <row r="64" spans="1:11" ht="14.25" customHeight="1" x14ac:dyDescent="0.3">
      <c r="A64" s="11" t="s">
        <v>439</v>
      </c>
      <c r="C64" s="11" t="s">
        <v>125</v>
      </c>
      <c r="E64" s="11" t="s">
        <v>94</v>
      </c>
      <c r="F64" s="11" t="s">
        <v>247</v>
      </c>
    </row>
    <row r="65" spans="1:3" ht="14.25" customHeight="1" x14ac:dyDescent="0.3">
      <c r="A65" s="11" t="s">
        <v>440</v>
      </c>
      <c r="C65" s="11" t="s">
        <v>285</v>
      </c>
    </row>
    <row r="66" spans="1:3" ht="14.25" customHeight="1" x14ac:dyDescent="0.3">
      <c r="A66" s="11" t="s">
        <v>11</v>
      </c>
      <c r="C66" s="11" t="s">
        <v>448</v>
      </c>
    </row>
  </sheetData>
  <phoneticPr fontId="1" type="noConversion"/>
  <pageMargins left="0.7" right="0.7" top="0.75" bottom="0.75" header="0.3" footer="0.3"/>
  <pageSetup paperSize="9" scale="77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B31D-C021-4877-AB4A-B3EA87007D64}">
  <sheetPr>
    <pageSetUpPr fitToPage="1"/>
  </sheetPr>
  <dimension ref="A1:D30"/>
  <sheetViews>
    <sheetView workbookViewId="0">
      <selection activeCell="N22" sqref="N22"/>
    </sheetView>
  </sheetViews>
  <sheetFormatPr defaultRowHeight="16.5" x14ac:dyDescent="0.3"/>
  <cols>
    <col min="1" max="1" width="13.5" style="4" customWidth="1"/>
    <col min="2" max="2" width="9" style="4"/>
  </cols>
  <sheetData>
    <row r="1" spans="1:4" x14ac:dyDescent="0.3">
      <c r="A1" s="12" t="s">
        <v>163</v>
      </c>
      <c r="B1" s="12"/>
      <c r="D1" t="s">
        <v>164</v>
      </c>
    </row>
    <row r="2" spans="1:4" x14ac:dyDescent="0.3">
      <c r="A2" s="7" t="s">
        <v>15</v>
      </c>
      <c r="B2" s="7" t="s">
        <v>269</v>
      </c>
      <c r="D2" t="s">
        <v>165</v>
      </c>
    </row>
    <row r="3" spans="1:4" x14ac:dyDescent="0.3">
      <c r="A3" s="7" t="s">
        <v>34</v>
      </c>
      <c r="B3" s="7">
        <v>0</v>
      </c>
      <c r="D3" t="s">
        <v>254</v>
      </c>
    </row>
    <row r="4" spans="1:4" x14ac:dyDescent="0.3">
      <c r="A4" s="7" t="s">
        <v>16</v>
      </c>
      <c r="B4" s="7"/>
      <c r="D4" t="s">
        <v>255</v>
      </c>
    </row>
    <row r="5" spans="1:4" x14ac:dyDescent="0.3">
      <c r="A5" s="7" t="s">
        <v>19</v>
      </c>
      <c r="B5" s="7"/>
      <c r="D5" t="s">
        <v>166</v>
      </c>
    </row>
    <row r="6" spans="1:4" x14ac:dyDescent="0.3">
      <c r="A6" s="7" t="s">
        <v>167</v>
      </c>
      <c r="B6" s="7"/>
    </row>
    <row r="10" spans="1:4" x14ac:dyDescent="0.3">
      <c r="A10" s="12" t="s">
        <v>16</v>
      </c>
      <c r="B10" s="12"/>
      <c r="D10" t="s">
        <v>164</v>
      </c>
    </row>
    <row r="11" spans="1:4" x14ac:dyDescent="0.3">
      <c r="A11" s="7" t="s">
        <v>24</v>
      </c>
      <c r="B11" s="7" t="s">
        <v>203</v>
      </c>
      <c r="D11" t="s">
        <v>204</v>
      </c>
    </row>
    <row r="12" spans="1:4" x14ac:dyDescent="0.3">
      <c r="A12" s="7" t="s">
        <v>25</v>
      </c>
      <c r="B12" s="7" t="s">
        <v>170</v>
      </c>
    </row>
    <row r="13" spans="1:4" x14ac:dyDescent="0.3">
      <c r="A13" s="7" t="s">
        <v>256</v>
      </c>
      <c r="B13" s="7" t="s">
        <v>146</v>
      </c>
    </row>
    <row r="16" spans="1:4" x14ac:dyDescent="0.3">
      <c r="A16" s="12" t="s">
        <v>167</v>
      </c>
      <c r="B16" s="12"/>
      <c r="D16" t="s">
        <v>164</v>
      </c>
    </row>
    <row r="17" spans="1:4" x14ac:dyDescent="0.3">
      <c r="A17" s="7" t="s">
        <v>168</v>
      </c>
      <c r="B17" s="7" t="s">
        <v>170</v>
      </c>
      <c r="D17" t="s">
        <v>206</v>
      </c>
    </row>
    <row r="18" spans="1:4" x14ac:dyDescent="0.3">
      <c r="A18" s="7" t="s">
        <v>42</v>
      </c>
      <c r="B18" s="7" t="s">
        <v>170</v>
      </c>
      <c r="D18" t="s">
        <v>205</v>
      </c>
    </row>
    <row r="19" spans="1:4" x14ac:dyDescent="0.3">
      <c r="A19" s="7" t="s">
        <v>11</v>
      </c>
      <c r="B19" s="7" t="s">
        <v>119</v>
      </c>
    </row>
    <row r="20" spans="1:4" x14ac:dyDescent="0.3">
      <c r="A20" s="7" t="s">
        <v>70</v>
      </c>
      <c r="B20" s="7" t="s">
        <v>170</v>
      </c>
    </row>
    <row r="21" spans="1:4" x14ac:dyDescent="0.3">
      <c r="A21" s="7" t="s">
        <v>99</v>
      </c>
      <c r="B21" s="7" t="s">
        <v>119</v>
      </c>
    </row>
    <row r="22" spans="1:4" x14ac:dyDescent="0.3">
      <c r="A22" s="7" t="s">
        <v>71</v>
      </c>
      <c r="B22" s="7" t="s">
        <v>120</v>
      </c>
    </row>
    <row r="23" spans="1:4" x14ac:dyDescent="0.3">
      <c r="A23" s="7" t="s">
        <v>169</v>
      </c>
      <c r="B23" s="7"/>
    </row>
    <row r="24" spans="1:4" x14ac:dyDescent="0.3">
      <c r="A24" s="7" t="s">
        <v>72</v>
      </c>
      <c r="B24" s="7" t="s">
        <v>110</v>
      </c>
    </row>
    <row r="27" spans="1:4" x14ac:dyDescent="0.3">
      <c r="A27" s="12" t="s">
        <v>270</v>
      </c>
      <c r="B27" s="12"/>
      <c r="D27" t="s">
        <v>164</v>
      </c>
    </row>
    <row r="28" spans="1:4" x14ac:dyDescent="0.3">
      <c r="A28" s="7" t="s">
        <v>19</v>
      </c>
      <c r="B28" s="7" t="s">
        <v>121</v>
      </c>
      <c r="D28" t="s">
        <v>272</v>
      </c>
    </row>
    <row r="29" spans="1:4" x14ac:dyDescent="0.3">
      <c r="A29" s="7" t="s">
        <v>271</v>
      </c>
      <c r="B29" s="7" t="s">
        <v>171</v>
      </c>
    </row>
    <row r="30" spans="1:4" x14ac:dyDescent="0.3">
      <c r="A30" s="7"/>
      <c r="B30" s="7"/>
    </row>
  </sheetData>
  <mergeCells count="4">
    <mergeCell ref="A1:B1"/>
    <mergeCell ref="A10:B10"/>
    <mergeCell ref="A16:B16"/>
    <mergeCell ref="A27:B27"/>
  </mergeCells>
  <phoneticPr fontId="1" type="noConversion"/>
  <pageMargins left="0.7" right="0.7" top="0.75" bottom="0.75" header="0.3" footer="0.3"/>
  <pageSetup paperSize="9" scale="71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22FC-126B-429C-9CF2-BB7C095F9119}">
  <sheetPr>
    <pageSetUpPr fitToPage="1"/>
  </sheetPr>
  <dimension ref="A1:D37"/>
  <sheetViews>
    <sheetView workbookViewId="0">
      <selection activeCell="F20" sqref="F20"/>
    </sheetView>
  </sheetViews>
  <sheetFormatPr defaultRowHeight="16.5" x14ac:dyDescent="0.3"/>
  <cols>
    <col min="1" max="1" width="16" style="4" customWidth="1"/>
    <col min="2" max="2" width="9" style="4"/>
    <col min="3" max="3" width="4.25" customWidth="1"/>
    <col min="4" max="4" width="78.125" customWidth="1"/>
  </cols>
  <sheetData>
    <row r="1" spans="1:4" x14ac:dyDescent="0.3">
      <c r="A1" s="12" t="s">
        <v>106</v>
      </c>
      <c r="B1" s="12"/>
      <c r="D1" t="s">
        <v>113</v>
      </c>
    </row>
    <row r="2" spans="1:4" x14ac:dyDescent="0.3">
      <c r="A2" s="6" t="s">
        <v>55</v>
      </c>
      <c r="B2" s="6" t="s">
        <v>115</v>
      </c>
      <c r="D2" t="s">
        <v>111</v>
      </c>
    </row>
    <row r="3" spans="1:4" x14ac:dyDescent="0.3">
      <c r="A3" s="6" t="s">
        <v>0</v>
      </c>
      <c r="B3" s="6" t="s">
        <v>116</v>
      </c>
      <c r="D3" t="s">
        <v>172</v>
      </c>
    </row>
    <row r="4" spans="1:4" x14ac:dyDescent="0.3">
      <c r="A4" s="6" t="s">
        <v>2</v>
      </c>
      <c r="B4" s="6" t="s">
        <v>116</v>
      </c>
      <c r="D4" t="s">
        <v>173</v>
      </c>
    </row>
    <row r="5" spans="1:4" x14ac:dyDescent="0.3">
      <c r="A5" s="6" t="s">
        <v>23</v>
      </c>
      <c r="B5" s="6" t="s">
        <v>117</v>
      </c>
      <c r="D5" t="s">
        <v>174</v>
      </c>
    </row>
    <row r="6" spans="1:4" x14ac:dyDescent="0.3">
      <c r="A6" s="6" t="s">
        <v>11</v>
      </c>
      <c r="B6" s="6" t="s">
        <v>118</v>
      </c>
      <c r="D6" t="s">
        <v>175</v>
      </c>
    </row>
    <row r="7" spans="1:4" x14ac:dyDescent="0.3">
      <c r="A7" s="6" t="s">
        <v>107</v>
      </c>
      <c r="B7" s="6" t="s">
        <v>118</v>
      </c>
      <c r="D7" t="s">
        <v>112</v>
      </c>
    </row>
    <row r="8" spans="1:4" x14ac:dyDescent="0.3">
      <c r="A8" s="6" t="s">
        <v>3</v>
      </c>
      <c r="B8" s="6" t="s">
        <v>119</v>
      </c>
    </row>
    <row r="9" spans="1:4" x14ac:dyDescent="0.3">
      <c r="A9" s="6" t="s">
        <v>26</v>
      </c>
      <c r="B9" s="6" t="s">
        <v>120</v>
      </c>
    </row>
    <row r="10" spans="1:4" x14ac:dyDescent="0.3">
      <c r="A10" s="6" t="s">
        <v>108</v>
      </c>
      <c r="B10" s="6" t="s">
        <v>110</v>
      </c>
    </row>
    <row r="11" spans="1:4" x14ac:dyDescent="0.3">
      <c r="A11" s="6" t="s">
        <v>109</v>
      </c>
      <c r="B11" s="6" t="s">
        <v>121</v>
      </c>
    </row>
    <row r="14" spans="1:4" x14ac:dyDescent="0.3">
      <c r="A14" s="12" t="s">
        <v>0</v>
      </c>
      <c r="B14" s="12"/>
      <c r="D14" t="s">
        <v>113</v>
      </c>
    </row>
    <row r="15" spans="1:4" x14ac:dyDescent="0.3">
      <c r="A15" s="6" t="s">
        <v>20</v>
      </c>
      <c r="B15" s="7"/>
      <c r="D15" t="s">
        <v>151</v>
      </c>
    </row>
    <row r="16" spans="1:4" x14ac:dyDescent="0.3">
      <c r="A16" s="7" t="s">
        <v>14</v>
      </c>
      <c r="B16" s="7"/>
      <c r="D16" t="s">
        <v>152</v>
      </c>
    </row>
    <row r="17" spans="1:4" x14ac:dyDescent="0.3">
      <c r="A17" s="7" t="s">
        <v>21</v>
      </c>
      <c r="B17" s="7"/>
      <c r="D17" t="s">
        <v>153</v>
      </c>
    </row>
    <row r="18" spans="1:4" x14ac:dyDescent="0.3">
      <c r="A18" s="7" t="s">
        <v>67</v>
      </c>
      <c r="B18" s="7"/>
      <c r="D18" t="s">
        <v>154</v>
      </c>
    </row>
    <row r="19" spans="1:4" x14ac:dyDescent="0.3">
      <c r="A19" s="7"/>
      <c r="B19" s="7"/>
      <c r="D19" t="s">
        <v>155</v>
      </c>
    </row>
    <row r="20" spans="1:4" x14ac:dyDescent="0.3">
      <c r="A20" s="7"/>
      <c r="B20" s="7"/>
      <c r="D20" t="s">
        <v>156</v>
      </c>
    </row>
    <row r="23" spans="1:4" x14ac:dyDescent="0.3">
      <c r="A23" s="12" t="s">
        <v>2</v>
      </c>
      <c r="B23" s="12"/>
      <c r="D23" t="s">
        <v>113</v>
      </c>
    </row>
    <row r="24" spans="1:4" x14ac:dyDescent="0.3">
      <c r="A24" s="7" t="s">
        <v>54</v>
      </c>
      <c r="B24" s="7" t="s">
        <v>123</v>
      </c>
      <c r="D24" t="s">
        <v>157</v>
      </c>
    </row>
    <row r="25" spans="1:4" x14ac:dyDescent="0.3">
      <c r="A25" s="7" t="s">
        <v>31</v>
      </c>
      <c r="B25" s="7" t="s">
        <v>150</v>
      </c>
      <c r="D25" t="s">
        <v>158</v>
      </c>
    </row>
    <row r="28" spans="1:4" x14ac:dyDescent="0.3">
      <c r="A28" s="12" t="s">
        <v>109</v>
      </c>
      <c r="B28" s="12"/>
      <c r="D28" t="s">
        <v>113</v>
      </c>
    </row>
    <row r="29" spans="1:4" x14ac:dyDescent="0.3">
      <c r="A29" s="7" t="s">
        <v>54</v>
      </c>
      <c r="B29" s="7" t="s">
        <v>123</v>
      </c>
      <c r="D29" t="s">
        <v>274</v>
      </c>
    </row>
    <row r="30" spans="1:4" x14ac:dyDescent="0.3">
      <c r="A30" s="7" t="s">
        <v>273</v>
      </c>
      <c r="B30" s="7" t="s">
        <v>139</v>
      </c>
      <c r="D30" t="s">
        <v>158</v>
      </c>
    </row>
    <row r="31" spans="1:4" x14ac:dyDescent="0.3">
      <c r="A31" s="7"/>
      <c r="B31" s="7"/>
    </row>
    <row r="34" spans="1:4" x14ac:dyDescent="0.3">
      <c r="A34" s="12" t="s">
        <v>3</v>
      </c>
      <c r="B34" s="12"/>
      <c r="D34" t="s">
        <v>113</v>
      </c>
    </row>
    <row r="35" spans="1:4" x14ac:dyDescent="0.3">
      <c r="A35" s="6" t="s">
        <v>159</v>
      </c>
      <c r="B35" s="7"/>
      <c r="D35" t="s">
        <v>160</v>
      </c>
    </row>
    <row r="36" spans="1:4" x14ac:dyDescent="0.3">
      <c r="A36" s="7" t="s">
        <v>108</v>
      </c>
      <c r="B36" s="7"/>
      <c r="D36" t="s">
        <v>161</v>
      </c>
    </row>
    <row r="37" spans="1:4" x14ac:dyDescent="0.3">
      <c r="D37" t="s">
        <v>162</v>
      </c>
    </row>
  </sheetData>
  <mergeCells count="5">
    <mergeCell ref="A1:B1"/>
    <mergeCell ref="A23:B23"/>
    <mergeCell ref="A14:B14"/>
    <mergeCell ref="A28:B28"/>
    <mergeCell ref="A34:B34"/>
  </mergeCells>
  <phoneticPr fontId="1" type="noConversion"/>
  <pageMargins left="0.7" right="0.7" top="0.75" bottom="0.75" header="0.3" footer="0.3"/>
  <pageSetup paperSize="9" scale="75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F900-9F85-49EC-91F3-07731E19A08B}">
  <sheetPr>
    <pageSetUpPr fitToPage="1"/>
  </sheetPr>
  <dimension ref="A1:D17"/>
  <sheetViews>
    <sheetView workbookViewId="0">
      <selection activeCell="B18" sqref="B18"/>
    </sheetView>
  </sheetViews>
  <sheetFormatPr defaultRowHeight="16.5" x14ac:dyDescent="0.3"/>
  <cols>
    <col min="1" max="1" width="11.625" style="4" customWidth="1"/>
    <col min="2" max="2" width="9" style="4"/>
  </cols>
  <sheetData>
    <row r="1" spans="1:4" x14ac:dyDescent="0.3">
      <c r="A1" s="12" t="s">
        <v>176</v>
      </c>
      <c r="B1" s="12"/>
      <c r="D1" t="s">
        <v>193</v>
      </c>
    </row>
    <row r="2" spans="1:4" x14ac:dyDescent="0.3">
      <c r="A2" s="6" t="s">
        <v>177</v>
      </c>
      <c r="B2" s="6"/>
      <c r="D2" t="s">
        <v>194</v>
      </c>
    </row>
    <row r="3" spans="1:4" x14ac:dyDescent="0.3">
      <c r="A3" s="6" t="s">
        <v>178</v>
      </c>
      <c r="B3" s="6" t="s">
        <v>179</v>
      </c>
      <c r="D3" t="s">
        <v>195</v>
      </c>
    </row>
    <row r="4" spans="1:4" x14ac:dyDescent="0.3">
      <c r="A4" s="6" t="s">
        <v>180</v>
      </c>
      <c r="B4" s="6"/>
      <c r="D4" t="s">
        <v>196</v>
      </c>
    </row>
    <row r="5" spans="1:4" x14ac:dyDescent="0.3">
      <c r="A5" s="7" t="s">
        <v>181</v>
      </c>
      <c r="B5" s="6" t="s">
        <v>192</v>
      </c>
      <c r="D5" t="s">
        <v>197</v>
      </c>
    </row>
    <row r="6" spans="1:4" x14ac:dyDescent="0.3">
      <c r="A6" s="7" t="s">
        <v>182</v>
      </c>
      <c r="B6" s="6" t="s">
        <v>189</v>
      </c>
      <c r="D6" t="s">
        <v>198</v>
      </c>
    </row>
    <row r="7" spans="1:4" x14ac:dyDescent="0.3">
      <c r="A7" s="7" t="s">
        <v>183</v>
      </c>
      <c r="B7" s="6" t="s">
        <v>190</v>
      </c>
      <c r="D7" t="s">
        <v>199</v>
      </c>
    </row>
    <row r="8" spans="1:4" x14ac:dyDescent="0.3">
      <c r="A8" s="7" t="s">
        <v>200</v>
      </c>
      <c r="D8" t="s">
        <v>201</v>
      </c>
    </row>
    <row r="12" spans="1:4" x14ac:dyDescent="0.3">
      <c r="A12" s="12" t="s">
        <v>181</v>
      </c>
      <c r="B12" s="12"/>
      <c r="D12" t="s">
        <v>193</v>
      </c>
    </row>
    <row r="13" spans="1:4" x14ac:dyDescent="0.3">
      <c r="A13" s="6" t="s">
        <v>184</v>
      </c>
      <c r="B13" s="6" t="s">
        <v>146</v>
      </c>
      <c r="D13" t="s">
        <v>202</v>
      </c>
    </row>
    <row r="14" spans="1:4" x14ac:dyDescent="0.3">
      <c r="A14" s="6" t="s">
        <v>185</v>
      </c>
      <c r="B14" s="6" t="s">
        <v>191</v>
      </c>
    </row>
    <row r="15" spans="1:4" x14ac:dyDescent="0.3">
      <c r="A15" s="6" t="s">
        <v>186</v>
      </c>
      <c r="B15" s="6" t="s">
        <v>191</v>
      </c>
    </row>
    <row r="16" spans="1:4" x14ac:dyDescent="0.3">
      <c r="A16" s="6" t="s">
        <v>187</v>
      </c>
      <c r="B16" s="6" t="s">
        <v>146</v>
      </c>
    </row>
    <row r="17" spans="1:2" x14ac:dyDescent="0.3">
      <c r="A17" s="6" t="s">
        <v>188</v>
      </c>
      <c r="B17" s="6" t="s">
        <v>170</v>
      </c>
    </row>
  </sheetData>
  <mergeCells count="2">
    <mergeCell ref="A1:B1"/>
    <mergeCell ref="A12:B12"/>
  </mergeCells>
  <phoneticPr fontId="1" type="noConversion"/>
  <pageMargins left="0.7" right="0.7" top="0.75" bottom="0.75" header="0.3" footer="0.3"/>
  <pageSetup paperSize="9" scale="72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9BD6-F902-4916-B1EB-D1463C0E50E6}">
  <sheetPr>
    <pageSetUpPr fitToPage="1"/>
  </sheetPr>
  <dimension ref="A1:D25"/>
  <sheetViews>
    <sheetView workbookViewId="0">
      <selection activeCell="L29" sqref="L29"/>
    </sheetView>
  </sheetViews>
  <sheetFormatPr defaultRowHeight="16.5" x14ac:dyDescent="0.3"/>
  <cols>
    <col min="1" max="1" width="11.875" style="4" customWidth="1"/>
    <col min="2" max="2" width="9" style="4"/>
  </cols>
  <sheetData>
    <row r="1" spans="1:4" x14ac:dyDescent="0.3">
      <c r="A1" s="12" t="s">
        <v>104</v>
      </c>
      <c r="B1" s="12"/>
      <c r="D1" t="s">
        <v>164</v>
      </c>
    </row>
    <row r="2" spans="1:4" x14ac:dyDescent="0.3">
      <c r="A2" s="7" t="s">
        <v>114</v>
      </c>
      <c r="B2" s="7" t="s">
        <v>123</v>
      </c>
      <c r="D2" t="s">
        <v>132</v>
      </c>
    </row>
    <row r="3" spans="1:4" x14ac:dyDescent="0.3">
      <c r="A3" s="7" t="s">
        <v>66</v>
      </c>
      <c r="B3" s="7" t="s">
        <v>124</v>
      </c>
      <c r="D3" t="s">
        <v>131</v>
      </c>
    </row>
    <row r="4" spans="1:4" x14ac:dyDescent="0.3">
      <c r="A4" s="7" t="s">
        <v>11</v>
      </c>
      <c r="B4" s="7" t="s">
        <v>120</v>
      </c>
      <c r="D4" t="s">
        <v>133</v>
      </c>
    </row>
    <row r="5" spans="1:4" x14ac:dyDescent="0.3">
      <c r="A5" s="7" t="s">
        <v>59</v>
      </c>
      <c r="B5" s="7"/>
      <c r="D5" t="s">
        <v>149</v>
      </c>
    </row>
    <row r="6" spans="1:4" x14ac:dyDescent="0.3">
      <c r="A6" s="7" t="s">
        <v>14</v>
      </c>
      <c r="B6" s="7" t="s">
        <v>110</v>
      </c>
      <c r="D6" t="s">
        <v>134</v>
      </c>
    </row>
    <row r="7" spans="1:4" x14ac:dyDescent="0.3">
      <c r="A7" s="7" t="s">
        <v>122</v>
      </c>
      <c r="B7" s="7" t="s">
        <v>125</v>
      </c>
    </row>
    <row r="8" spans="1:4" x14ac:dyDescent="0.3">
      <c r="A8" s="7" t="s">
        <v>23</v>
      </c>
      <c r="B8" s="7" t="s">
        <v>128</v>
      </c>
    </row>
    <row r="9" spans="1:4" x14ac:dyDescent="0.3">
      <c r="A9" s="7" t="s">
        <v>46</v>
      </c>
      <c r="B9" s="7" t="s">
        <v>128</v>
      </c>
    </row>
    <row r="10" spans="1:4" x14ac:dyDescent="0.3">
      <c r="A10" s="7" t="s">
        <v>60</v>
      </c>
      <c r="B10" s="7" t="s">
        <v>118</v>
      </c>
    </row>
    <row r="11" spans="1:4" x14ac:dyDescent="0.3">
      <c r="A11" s="7" t="s">
        <v>13</v>
      </c>
      <c r="B11" s="7" t="s">
        <v>126</v>
      </c>
    </row>
    <row r="12" spans="1:4" x14ac:dyDescent="0.3">
      <c r="A12" s="7" t="s">
        <v>12</v>
      </c>
      <c r="B12" s="7" t="s">
        <v>126</v>
      </c>
    </row>
    <row r="13" spans="1:4" x14ac:dyDescent="0.3">
      <c r="A13" s="7" t="s">
        <v>31</v>
      </c>
      <c r="B13" s="7" t="s">
        <v>127</v>
      </c>
    </row>
    <row r="14" spans="1:4" x14ac:dyDescent="0.3">
      <c r="A14" s="6"/>
      <c r="B14" s="6"/>
    </row>
    <row r="16" spans="1:4" x14ac:dyDescent="0.3">
      <c r="A16" s="12" t="s">
        <v>235</v>
      </c>
      <c r="B16" s="12"/>
    </row>
    <row r="17" spans="1:2" x14ac:dyDescent="0.3">
      <c r="A17" s="7" t="s">
        <v>31</v>
      </c>
      <c r="B17" s="7" t="s">
        <v>127</v>
      </c>
    </row>
    <row r="18" spans="1:2" x14ac:dyDescent="0.3">
      <c r="A18" s="7" t="s">
        <v>23</v>
      </c>
      <c r="B18" s="7" t="s">
        <v>128</v>
      </c>
    </row>
    <row r="19" spans="1:2" x14ac:dyDescent="0.3">
      <c r="A19" s="7" t="s">
        <v>46</v>
      </c>
      <c r="B19" s="7" t="s">
        <v>128</v>
      </c>
    </row>
    <row r="20" spans="1:2" x14ac:dyDescent="0.3">
      <c r="A20" s="7"/>
      <c r="B20" s="7"/>
    </row>
    <row r="22" spans="1:2" x14ac:dyDescent="0.3">
      <c r="A22" s="12" t="s">
        <v>130</v>
      </c>
      <c r="B22" s="12"/>
    </row>
    <row r="23" spans="1:2" x14ac:dyDescent="0.3">
      <c r="A23" s="7" t="s">
        <v>31</v>
      </c>
      <c r="B23" s="7" t="s">
        <v>127</v>
      </c>
    </row>
    <row r="24" spans="1:2" x14ac:dyDescent="0.3">
      <c r="A24" s="7" t="s">
        <v>23</v>
      </c>
      <c r="B24" s="7" t="s">
        <v>128</v>
      </c>
    </row>
    <row r="25" spans="1:2" x14ac:dyDescent="0.3">
      <c r="A25" s="7" t="s">
        <v>46</v>
      </c>
      <c r="B25" s="7" t="s">
        <v>129</v>
      </c>
    </row>
  </sheetData>
  <mergeCells count="3">
    <mergeCell ref="A1:B1"/>
    <mergeCell ref="A16:B16"/>
    <mergeCell ref="A22:B22"/>
  </mergeCells>
  <phoneticPr fontId="1" type="noConversion"/>
  <pageMargins left="0.7" right="0.7" top="0.75" bottom="0.75" header="0.3" footer="0.3"/>
  <pageSetup paperSize="9" scale="7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6ED8-19A0-46BC-A0F0-165ADBF39E4B}">
  <sheetPr>
    <pageSetUpPr fitToPage="1"/>
  </sheetPr>
  <dimension ref="A1:D27"/>
  <sheetViews>
    <sheetView workbookViewId="0">
      <selection activeCell="N10" sqref="N10"/>
    </sheetView>
  </sheetViews>
  <sheetFormatPr defaultRowHeight="16.5" x14ac:dyDescent="0.3"/>
  <cols>
    <col min="1" max="1" width="12.375" style="4" customWidth="1"/>
    <col min="2" max="2" width="9" style="4"/>
  </cols>
  <sheetData>
    <row r="1" spans="1:4" x14ac:dyDescent="0.3">
      <c r="A1" s="12" t="s">
        <v>135</v>
      </c>
      <c r="B1" s="12"/>
      <c r="D1" t="s">
        <v>164</v>
      </c>
    </row>
    <row r="2" spans="1:4" x14ac:dyDescent="0.3">
      <c r="A2" s="6" t="s">
        <v>137</v>
      </c>
      <c r="B2" s="6" t="s">
        <v>138</v>
      </c>
      <c r="D2" t="s">
        <v>147</v>
      </c>
    </row>
    <row r="3" spans="1:4" x14ac:dyDescent="0.3">
      <c r="A3" s="6" t="s">
        <v>66</v>
      </c>
      <c r="B3" s="6" t="s">
        <v>139</v>
      </c>
      <c r="D3" t="s">
        <v>148</v>
      </c>
    </row>
    <row r="4" spans="1:4" x14ac:dyDescent="0.3">
      <c r="A4" s="6" t="s">
        <v>86</v>
      </c>
      <c r="B4" s="6"/>
    </row>
    <row r="5" spans="1:4" x14ac:dyDescent="0.3">
      <c r="A5" s="6" t="s">
        <v>87</v>
      </c>
      <c r="B5" s="6"/>
    </row>
    <row r="6" spans="1:4" x14ac:dyDescent="0.3">
      <c r="A6" s="6" t="s">
        <v>101</v>
      </c>
      <c r="B6" s="6"/>
    </row>
    <row r="7" spans="1:4" x14ac:dyDescent="0.3">
      <c r="A7" s="6" t="s">
        <v>102</v>
      </c>
      <c r="B7" s="6"/>
    </row>
    <row r="8" spans="1:4" x14ac:dyDescent="0.3">
      <c r="A8" s="6" t="s">
        <v>13</v>
      </c>
      <c r="B8" s="6" t="s">
        <v>258</v>
      </c>
    </row>
    <row r="9" spans="1:4" x14ac:dyDescent="0.3">
      <c r="A9" s="6" t="s">
        <v>12</v>
      </c>
      <c r="B9" s="6" t="s">
        <v>258</v>
      </c>
    </row>
    <row r="10" spans="1:4" x14ac:dyDescent="0.3">
      <c r="A10" s="6" t="s">
        <v>88</v>
      </c>
      <c r="B10" s="6" t="s">
        <v>120</v>
      </c>
    </row>
    <row r="11" spans="1:4" x14ac:dyDescent="0.3">
      <c r="A11" s="6" t="s">
        <v>136</v>
      </c>
      <c r="B11" s="6" t="s">
        <v>139</v>
      </c>
    </row>
    <row r="12" spans="1:4" x14ac:dyDescent="0.3">
      <c r="A12" s="6" t="s">
        <v>140</v>
      </c>
      <c r="B12" s="6" t="s">
        <v>146</v>
      </c>
    </row>
    <row r="13" spans="1:4" x14ac:dyDescent="0.3">
      <c r="A13" s="6" t="s">
        <v>141</v>
      </c>
      <c r="B13" s="6" t="s">
        <v>144</v>
      </c>
    </row>
    <row r="14" spans="1:4" x14ac:dyDescent="0.3">
      <c r="A14" s="6" t="s">
        <v>142</v>
      </c>
      <c r="B14" s="6" t="s">
        <v>145</v>
      </c>
    </row>
    <row r="15" spans="1:4" x14ac:dyDescent="0.3">
      <c r="A15" s="6" t="s">
        <v>143</v>
      </c>
      <c r="B15" s="6" t="s">
        <v>145</v>
      </c>
    </row>
    <row r="18" spans="1:4" x14ac:dyDescent="0.3">
      <c r="A18" s="12" t="s">
        <v>140</v>
      </c>
      <c r="B18" s="12"/>
      <c r="D18" t="s">
        <v>164</v>
      </c>
    </row>
    <row r="19" spans="1:4" x14ac:dyDescent="0.3">
      <c r="A19" s="6" t="s">
        <v>168</v>
      </c>
      <c r="B19" s="7" t="s">
        <v>203</v>
      </c>
      <c r="D19" t="s">
        <v>241</v>
      </c>
    </row>
    <row r="20" spans="1:4" x14ac:dyDescent="0.3">
      <c r="A20" s="7" t="s">
        <v>69</v>
      </c>
      <c r="B20" s="7" t="s">
        <v>116</v>
      </c>
      <c r="D20" t="s">
        <v>242</v>
      </c>
    </row>
    <row r="21" spans="1:4" x14ac:dyDescent="0.3">
      <c r="A21" s="7" t="s">
        <v>70</v>
      </c>
      <c r="B21" s="7" t="s">
        <v>237</v>
      </c>
    </row>
    <row r="22" spans="1:4" x14ac:dyDescent="0.3">
      <c r="A22" s="7" t="s">
        <v>11</v>
      </c>
      <c r="B22" s="7" t="s">
        <v>170</v>
      </c>
    </row>
    <row r="23" spans="1:4" x14ac:dyDescent="0.3">
      <c r="A23" s="7" t="s">
        <v>42</v>
      </c>
      <c r="B23" s="7" t="s">
        <v>238</v>
      </c>
    </row>
    <row r="24" spans="1:4" x14ac:dyDescent="0.3">
      <c r="A24" s="7" t="s">
        <v>71</v>
      </c>
      <c r="B24" s="7" t="s">
        <v>116</v>
      </c>
    </row>
    <row r="25" spans="1:4" x14ac:dyDescent="0.3">
      <c r="A25" s="7" t="s">
        <v>72</v>
      </c>
      <c r="B25" s="7" t="s">
        <v>239</v>
      </c>
    </row>
    <row r="26" spans="1:4" x14ac:dyDescent="0.3">
      <c r="A26" s="7" t="s">
        <v>73</v>
      </c>
      <c r="B26" s="7" t="s">
        <v>240</v>
      </c>
    </row>
    <row r="27" spans="1:4" x14ac:dyDescent="0.3">
      <c r="A27" s="7" t="s">
        <v>236</v>
      </c>
      <c r="B27" s="7" t="s">
        <v>129</v>
      </c>
    </row>
  </sheetData>
  <mergeCells count="2">
    <mergeCell ref="A1:B1"/>
    <mergeCell ref="A18:B18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FACF-BD8D-4609-9A05-15A22D1463BA}">
  <sheetPr>
    <pageSetUpPr fitToPage="1"/>
  </sheetPr>
  <dimension ref="A1:D23"/>
  <sheetViews>
    <sheetView workbookViewId="0">
      <selection activeCell="K25" sqref="K25"/>
    </sheetView>
  </sheetViews>
  <sheetFormatPr defaultRowHeight="16.5" x14ac:dyDescent="0.3"/>
  <cols>
    <col min="1" max="1" width="12.5" style="4" customWidth="1"/>
    <col min="2" max="2" width="9" style="4"/>
  </cols>
  <sheetData>
    <row r="1" spans="1:4" x14ac:dyDescent="0.3">
      <c r="A1" s="12" t="s">
        <v>212</v>
      </c>
      <c r="B1" s="12"/>
      <c r="D1" t="s">
        <v>164</v>
      </c>
    </row>
    <row r="2" spans="1:4" x14ac:dyDescent="0.3">
      <c r="A2" s="6" t="s">
        <v>213</v>
      </c>
      <c r="B2" s="7" t="s">
        <v>259</v>
      </c>
      <c r="D2" t="s">
        <v>261</v>
      </c>
    </row>
    <row r="3" spans="1:4" x14ac:dyDescent="0.3">
      <c r="A3" s="7" t="s">
        <v>214</v>
      </c>
      <c r="B3" s="7" t="s">
        <v>123</v>
      </c>
      <c r="D3" t="s">
        <v>263</v>
      </c>
    </row>
    <row r="4" spans="1:4" x14ac:dyDescent="0.3">
      <c r="A4" s="7" t="s">
        <v>215</v>
      </c>
      <c r="B4" s="7"/>
      <c r="D4" t="s">
        <v>262</v>
      </c>
    </row>
    <row r="5" spans="1:4" x14ac:dyDescent="0.3">
      <c r="A5" s="7" t="s">
        <v>11</v>
      </c>
      <c r="B5" s="7" t="s">
        <v>120</v>
      </c>
      <c r="D5" t="s">
        <v>264</v>
      </c>
    </row>
    <row r="6" spans="1:4" x14ac:dyDescent="0.3">
      <c r="A6" s="7" t="s">
        <v>183</v>
      </c>
      <c r="B6" s="7" t="s">
        <v>190</v>
      </c>
      <c r="D6" t="s">
        <v>265</v>
      </c>
    </row>
    <row r="7" spans="1:4" x14ac:dyDescent="0.3">
      <c r="A7" s="7" t="s">
        <v>216</v>
      </c>
      <c r="B7" s="7" t="s">
        <v>119</v>
      </c>
      <c r="D7" t="s">
        <v>266</v>
      </c>
    </row>
    <row r="8" spans="1:4" x14ac:dyDescent="0.3">
      <c r="A8" s="7" t="s">
        <v>74</v>
      </c>
      <c r="B8" s="7" t="s">
        <v>171</v>
      </c>
    </row>
    <row r="9" spans="1:4" x14ac:dyDescent="0.3">
      <c r="A9" s="7" t="s">
        <v>34</v>
      </c>
      <c r="B9" s="7" t="s">
        <v>171</v>
      </c>
    </row>
    <row r="10" spans="1:4" x14ac:dyDescent="0.3">
      <c r="A10" s="7" t="s">
        <v>217</v>
      </c>
      <c r="B10" s="7" t="s">
        <v>257</v>
      </c>
    </row>
    <row r="11" spans="1:4" x14ac:dyDescent="0.3">
      <c r="A11" s="7" t="s">
        <v>31</v>
      </c>
      <c r="B11" s="7" t="s">
        <v>170</v>
      </c>
    </row>
    <row r="12" spans="1:4" x14ac:dyDescent="0.3">
      <c r="A12" s="7" t="s">
        <v>40</v>
      </c>
      <c r="B12" s="7" t="s">
        <v>171</v>
      </c>
    </row>
    <row r="13" spans="1:4" x14ac:dyDescent="0.3">
      <c r="A13" s="7" t="s">
        <v>260</v>
      </c>
      <c r="B13" s="7"/>
    </row>
    <row r="14" spans="1:4" x14ac:dyDescent="0.3">
      <c r="A14" s="7"/>
      <c r="B14" s="7"/>
    </row>
    <row r="15" spans="1:4" x14ac:dyDescent="0.3">
      <c r="A15" s="7"/>
      <c r="B15" s="7"/>
    </row>
    <row r="19" spans="1:4" x14ac:dyDescent="0.3">
      <c r="A19" s="13"/>
      <c r="B19" s="13"/>
    </row>
    <row r="20" spans="1:4" x14ac:dyDescent="0.3">
      <c r="A20" s="12" t="s">
        <v>213</v>
      </c>
      <c r="B20" s="12"/>
      <c r="D20" t="s">
        <v>164</v>
      </c>
    </row>
    <row r="21" spans="1:4" x14ac:dyDescent="0.3">
      <c r="A21" s="7" t="s">
        <v>218</v>
      </c>
      <c r="B21" s="7"/>
      <c r="D21" t="s">
        <v>267</v>
      </c>
    </row>
    <row r="22" spans="1:4" x14ac:dyDescent="0.3">
      <c r="A22" s="7" t="s">
        <v>219</v>
      </c>
      <c r="B22" s="7"/>
    </row>
    <row r="23" spans="1:4" x14ac:dyDescent="0.3">
      <c r="A23" s="7" t="s">
        <v>220</v>
      </c>
      <c r="B23" s="7"/>
    </row>
  </sheetData>
  <mergeCells count="3">
    <mergeCell ref="A19:B19"/>
    <mergeCell ref="A1:B1"/>
    <mergeCell ref="A20:B20"/>
  </mergeCells>
  <phoneticPr fontId="1" type="noConversion"/>
  <pageMargins left="0.7" right="0.7" top="0.75" bottom="0.75" header="0.3" footer="0.3"/>
  <pageSetup paperSize="9" scale="72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1D67-025B-4C3A-A610-2424B4DCDD9B}">
  <sheetPr>
    <pageSetUpPr fitToPage="1"/>
  </sheetPr>
  <dimension ref="A1:D13"/>
  <sheetViews>
    <sheetView workbookViewId="0">
      <selection activeCell="G18" sqref="G18"/>
    </sheetView>
  </sheetViews>
  <sheetFormatPr defaultRowHeight="16.5" x14ac:dyDescent="0.3"/>
  <cols>
    <col min="1" max="1" width="13.125" style="4" customWidth="1"/>
    <col min="2" max="2" width="9" style="4"/>
    <col min="3" max="3" width="5.625" customWidth="1"/>
  </cols>
  <sheetData>
    <row r="1" spans="1:4" x14ac:dyDescent="0.3">
      <c r="A1" s="12" t="s">
        <v>221</v>
      </c>
      <c r="B1" s="12"/>
      <c r="D1" t="s">
        <v>164</v>
      </c>
    </row>
    <row r="2" spans="1:4" x14ac:dyDescent="0.3">
      <c r="A2" s="6" t="s">
        <v>222</v>
      </c>
      <c r="B2" s="7" t="s">
        <v>150</v>
      </c>
      <c r="D2" t="s">
        <v>232</v>
      </c>
    </row>
    <row r="3" spans="1:4" x14ac:dyDescent="0.3">
      <c r="A3" s="7" t="s">
        <v>61</v>
      </c>
      <c r="B3" s="7" t="s">
        <v>224</v>
      </c>
      <c r="D3" t="s">
        <v>233</v>
      </c>
    </row>
    <row r="4" spans="1:4" x14ac:dyDescent="0.3">
      <c r="A4" s="7" t="s">
        <v>225</v>
      </c>
      <c r="B4" s="7" t="s">
        <v>226</v>
      </c>
      <c r="D4" t="s">
        <v>234</v>
      </c>
    </row>
    <row r="5" spans="1:4" x14ac:dyDescent="0.3">
      <c r="A5" s="7" t="s">
        <v>223</v>
      </c>
      <c r="B5" s="7"/>
    </row>
    <row r="6" spans="1:4" x14ac:dyDescent="0.3">
      <c r="A6" s="7"/>
      <c r="B6" s="7"/>
    </row>
    <row r="9" spans="1:4" x14ac:dyDescent="0.3">
      <c r="A9" s="12" t="s">
        <v>222</v>
      </c>
      <c r="B9" s="12"/>
      <c r="D9" t="s">
        <v>164</v>
      </c>
    </row>
    <row r="10" spans="1:4" x14ac:dyDescent="0.3">
      <c r="A10" s="7" t="s">
        <v>227</v>
      </c>
      <c r="B10" s="7" t="s">
        <v>144</v>
      </c>
      <c r="D10" t="s">
        <v>229</v>
      </c>
    </row>
    <row r="11" spans="1:4" x14ac:dyDescent="0.3">
      <c r="A11" s="7" t="s">
        <v>228</v>
      </c>
      <c r="B11" s="7" t="s">
        <v>123</v>
      </c>
      <c r="D11" t="s">
        <v>230</v>
      </c>
    </row>
    <row r="12" spans="1:4" x14ac:dyDescent="0.3">
      <c r="A12" s="7" t="s">
        <v>25</v>
      </c>
      <c r="B12" s="7" t="s">
        <v>139</v>
      </c>
      <c r="D12" t="s">
        <v>231</v>
      </c>
    </row>
    <row r="13" spans="1:4" x14ac:dyDescent="0.3">
      <c r="A13" s="7"/>
      <c r="B13" s="7"/>
    </row>
  </sheetData>
  <mergeCells count="2">
    <mergeCell ref="A1:B1"/>
    <mergeCell ref="A9:B9"/>
  </mergeCells>
  <phoneticPr fontId="1" type="noConversion"/>
  <pageMargins left="0.7" right="0.7" top="0.75" bottom="0.75" header="0.3" footer="0.3"/>
  <pageSetup paperSize="9" scale="80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571B0-90C5-4D12-A690-0A8484C776D2}">
  <dimension ref="A1:B14"/>
  <sheetViews>
    <sheetView workbookViewId="0">
      <selection activeCell="B11" sqref="B11"/>
    </sheetView>
  </sheetViews>
  <sheetFormatPr defaultRowHeight="16.5" x14ac:dyDescent="0.3"/>
  <cols>
    <col min="1" max="1" width="12.625" style="4" customWidth="1"/>
    <col min="2" max="2" width="9" style="4"/>
  </cols>
  <sheetData>
    <row r="1" spans="1:2" x14ac:dyDescent="0.3">
      <c r="A1" s="12" t="s">
        <v>268</v>
      </c>
      <c r="B1" s="12"/>
    </row>
    <row r="2" spans="1:2" x14ac:dyDescent="0.3">
      <c r="A2" s="7" t="s">
        <v>208</v>
      </c>
      <c r="B2" s="7" t="s">
        <v>244</v>
      </c>
    </row>
    <row r="3" spans="1:2" x14ac:dyDescent="0.3">
      <c r="A3" s="7" t="s">
        <v>209</v>
      </c>
      <c r="B3" s="7" t="s">
        <v>245</v>
      </c>
    </row>
    <row r="4" spans="1:2" x14ac:dyDescent="0.3">
      <c r="A4" s="7" t="s">
        <v>253</v>
      </c>
      <c r="B4" s="7"/>
    </row>
    <row r="5" spans="1:2" x14ac:dyDescent="0.3">
      <c r="A5" s="7"/>
      <c r="B5" s="7"/>
    </row>
    <row r="8" spans="1:2" x14ac:dyDescent="0.3">
      <c r="A8" s="12" t="s">
        <v>207</v>
      </c>
      <c r="B8" s="12"/>
    </row>
    <row r="9" spans="1:2" x14ac:dyDescent="0.3">
      <c r="A9" s="7" t="s">
        <v>210</v>
      </c>
      <c r="B9" s="7" t="s">
        <v>246</v>
      </c>
    </row>
    <row r="10" spans="1:2" x14ac:dyDescent="0.3">
      <c r="A10" s="7" t="s">
        <v>186</v>
      </c>
      <c r="B10" s="7" t="s">
        <v>116</v>
      </c>
    </row>
    <row r="11" spans="1:2" x14ac:dyDescent="0.3">
      <c r="A11" s="7" t="s">
        <v>211</v>
      </c>
      <c r="B11" s="7" t="s">
        <v>247</v>
      </c>
    </row>
    <row r="12" spans="1:2" x14ac:dyDescent="0.3">
      <c r="A12" s="7" t="s">
        <v>248</v>
      </c>
      <c r="B12" s="7" t="s">
        <v>246</v>
      </c>
    </row>
    <row r="13" spans="1:2" x14ac:dyDescent="0.3">
      <c r="A13" s="7" t="s">
        <v>249</v>
      </c>
      <c r="B13" s="7" t="s">
        <v>251</v>
      </c>
    </row>
    <row r="14" spans="1:2" x14ac:dyDescent="0.3">
      <c r="A14" s="7" t="s">
        <v>250</v>
      </c>
      <c r="B14" s="7" t="s">
        <v>252</v>
      </c>
    </row>
  </sheetData>
  <mergeCells count="2">
    <mergeCell ref="A8:B8"/>
    <mergeCell ref="A1:B1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82BF-D9E7-4335-9B5C-02727C36EB81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EFE0-5714-4563-A502-ACF1CCEB1EE9}">
  <dimension ref="A1"/>
  <sheetViews>
    <sheetView topLeftCell="B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70E4-AA9B-451C-8729-09E55C718D0D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E36D-1B30-4B93-A356-96E994288D09}">
  <dimension ref="A1"/>
  <sheetViews>
    <sheetView workbookViewId="0">
      <selection activeCell="P26" sqref="P26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9FA3-C44D-4852-9E11-22821F4F2354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64B5-F261-4B7B-8CD0-91DF69CA9BE9}">
  <dimension ref="A1:D19"/>
  <sheetViews>
    <sheetView workbookViewId="0">
      <selection sqref="A1:XFD1048576"/>
    </sheetView>
  </sheetViews>
  <sheetFormatPr defaultRowHeight="16.5" x14ac:dyDescent="0.3"/>
  <cols>
    <col min="1" max="1" width="12.5" style="4" customWidth="1"/>
    <col min="2" max="2" width="9" style="4"/>
  </cols>
  <sheetData>
    <row r="1" spans="1:4" x14ac:dyDescent="0.3">
      <c r="A1" s="12" t="s">
        <v>105</v>
      </c>
      <c r="B1" s="12"/>
      <c r="D1" t="s">
        <v>164</v>
      </c>
    </row>
    <row r="2" spans="1:4" x14ac:dyDescent="0.3">
      <c r="A2" s="6" t="s">
        <v>213</v>
      </c>
      <c r="B2" s="7" t="s">
        <v>259</v>
      </c>
      <c r="D2" t="s">
        <v>261</v>
      </c>
    </row>
    <row r="3" spans="1:4" x14ac:dyDescent="0.3">
      <c r="A3" s="7" t="s">
        <v>75</v>
      </c>
      <c r="B3" s="7" t="s">
        <v>123</v>
      </c>
      <c r="D3" t="s">
        <v>263</v>
      </c>
    </row>
    <row r="4" spans="1:4" x14ac:dyDescent="0.3">
      <c r="A4" s="7" t="s">
        <v>215</v>
      </c>
      <c r="B4" s="7"/>
      <c r="D4" t="s">
        <v>262</v>
      </c>
    </row>
    <row r="5" spans="1:4" x14ac:dyDescent="0.3">
      <c r="A5" s="7" t="s">
        <v>11</v>
      </c>
      <c r="B5" s="7" t="s">
        <v>120</v>
      </c>
      <c r="D5" t="s">
        <v>264</v>
      </c>
    </row>
    <row r="6" spans="1:4" x14ac:dyDescent="0.3">
      <c r="A6" s="7" t="s">
        <v>59</v>
      </c>
      <c r="B6" s="7" t="s">
        <v>190</v>
      </c>
      <c r="D6" t="s">
        <v>265</v>
      </c>
    </row>
    <row r="7" spans="1:4" x14ac:dyDescent="0.3">
      <c r="A7" s="7" t="s">
        <v>103</v>
      </c>
      <c r="B7" s="7" t="s">
        <v>119</v>
      </c>
      <c r="D7" t="s">
        <v>266</v>
      </c>
    </row>
    <row r="8" spans="1:4" x14ac:dyDescent="0.3">
      <c r="A8" s="7" t="s">
        <v>74</v>
      </c>
      <c r="B8" s="7" t="s">
        <v>171</v>
      </c>
    </row>
    <row r="9" spans="1:4" x14ac:dyDescent="0.3">
      <c r="A9" s="7" t="s">
        <v>34</v>
      </c>
      <c r="B9" s="7" t="s">
        <v>171</v>
      </c>
    </row>
    <row r="10" spans="1:4" x14ac:dyDescent="0.3">
      <c r="A10" s="7" t="s">
        <v>14</v>
      </c>
      <c r="B10" s="7" t="s">
        <v>257</v>
      </c>
    </row>
    <row r="11" spans="1:4" x14ac:dyDescent="0.3">
      <c r="A11" s="7" t="s">
        <v>31</v>
      </c>
      <c r="B11" s="7" t="s">
        <v>170</v>
      </c>
    </row>
    <row r="12" spans="1:4" x14ac:dyDescent="0.3">
      <c r="A12" s="7" t="s">
        <v>40</v>
      </c>
      <c r="B12" s="7" t="s">
        <v>171</v>
      </c>
    </row>
    <row r="13" spans="1:4" x14ac:dyDescent="0.3">
      <c r="A13" s="7" t="s">
        <v>260</v>
      </c>
      <c r="B13" s="7"/>
    </row>
    <row r="14" spans="1:4" x14ac:dyDescent="0.3">
      <c r="A14" s="7"/>
      <c r="B14" s="7"/>
    </row>
    <row r="15" spans="1:4" x14ac:dyDescent="0.3">
      <c r="A15" s="7"/>
      <c r="B15" s="7"/>
    </row>
    <row r="19" spans="1:2" x14ac:dyDescent="0.3">
      <c r="A19" s="13"/>
      <c r="B19" s="13"/>
    </row>
  </sheetData>
  <mergeCells count="2">
    <mergeCell ref="A1:B1"/>
    <mergeCell ref="A19:B19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2E57-DFCA-4EAC-BC49-0F80F5529E34}">
  <sheetPr>
    <pageSetUpPr fitToPage="1"/>
  </sheetPr>
  <dimension ref="A1:G31"/>
  <sheetViews>
    <sheetView workbookViewId="0">
      <selection activeCell="E3" sqref="E3"/>
    </sheetView>
  </sheetViews>
  <sheetFormatPr defaultRowHeight="13.5" x14ac:dyDescent="0.3"/>
  <cols>
    <col min="1" max="1" width="12.5" style="8" customWidth="1"/>
    <col min="2" max="3" width="9" style="8"/>
    <col min="4" max="4" width="14.5" style="8" customWidth="1"/>
    <col min="5" max="6" width="9" style="8"/>
    <col min="7" max="7" width="9.375" style="8" customWidth="1"/>
    <col min="8" max="16384" width="9" style="8"/>
  </cols>
  <sheetData>
    <row r="1" spans="1:7" x14ac:dyDescent="0.3">
      <c r="A1" s="14" t="s">
        <v>339</v>
      </c>
      <c r="B1" s="14"/>
      <c r="D1" s="8" t="s">
        <v>396</v>
      </c>
      <c r="E1" s="8" t="s">
        <v>397</v>
      </c>
      <c r="F1" s="8" t="s">
        <v>398</v>
      </c>
      <c r="G1" s="8" t="s">
        <v>399</v>
      </c>
    </row>
    <row r="2" spans="1:7" x14ac:dyDescent="0.3">
      <c r="A2" s="8" t="s">
        <v>339</v>
      </c>
      <c r="B2" s="8">
        <v>300</v>
      </c>
      <c r="D2" s="8" t="s">
        <v>339</v>
      </c>
      <c r="E2" s="8">
        <v>1233.42</v>
      </c>
      <c r="F2" s="8">
        <v>730</v>
      </c>
      <c r="G2" s="9">
        <f>E2/F2</f>
        <v>1.6896164383561645</v>
      </c>
    </row>
    <row r="3" spans="1:7" x14ac:dyDescent="0.3">
      <c r="A3" s="8" t="s">
        <v>381</v>
      </c>
      <c r="B3" s="8">
        <v>150</v>
      </c>
      <c r="D3" s="8" t="s">
        <v>381</v>
      </c>
      <c r="G3" s="9" t="e">
        <f t="shared" ref="G3:G6" si="0">E3/F3</f>
        <v>#DIV/0!</v>
      </c>
    </row>
    <row r="4" spans="1:7" x14ac:dyDescent="0.3">
      <c r="A4" s="8" t="s">
        <v>382</v>
      </c>
      <c r="D4" s="8" t="s">
        <v>382</v>
      </c>
      <c r="G4" s="9" t="e">
        <f t="shared" si="0"/>
        <v>#DIV/0!</v>
      </c>
    </row>
    <row r="5" spans="1:7" x14ac:dyDescent="0.3">
      <c r="A5" s="8" t="s">
        <v>349</v>
      </c>
      <c r="B5" s="8">
        <v>10</v>
      </c>
      <c r="D5" s="8" t="s">
        <v>349</v>
      </c>
      <c r="G5" s="9" t="e">
        <f t="shared" si="0"/>
        <v>#DIV/0!</v>
      </c>
    </row>
    <row r="6" spans="1:7" x14ac:dyDescent="0.3">
      <c r="A6" s="8" t="s">
        <v>383</v>
      </c>
      <c r="B6" s="8">
        <v>45</v>
      </c>
      <c r="D6" s="8" t="s">
        <v>383</v>
      </c>
      <c r="G6" s="9" t="e">
        <f t="shared" si="0"/>
        <v>#DIV/0!</v>
      </c>
    </row>
    <row r="11" spans="1:7" x14ac:dyDescent="0.3">
      <c r="A11" s="14" t="s">
        <v>383</v>
      </c>
      <c r="B11" s="14"/>
      <c r="C11" s="9">
        <f>SUM(C12:C18)</f>
        <v>1233.4150326797385</v>
      </c>
      <c r="D11" s="8" t="s">
        <v>396</v>
      </c>
      <c r="E11" s="8" t="s">
        <v>397</v>
      </c>
      <c r="F11" s="8" t="s">
        <v>398</v>
      </c>
      <c r="G11" s="8" t="s">
        <v>399</v>
      </c>
    </row>
    <row r="12" spans="1:7" x14ac:dyDescent="0.3">
      <c r="A12" s="8" t="s">
        <v>384</v>
      </c>
      <c r="B12" s="8">
        <v>500</v>
      </c>
      <c r="C12" s="9">
        <f>G12*B12</f>
        <v>833.33333333333337</v>
      </c>
      <c r="D12" s="8" t="s">
        <v>384</v>
      </c>
      <c r="E12" s="8">
        <v>3500</v>
      </c>
      <c r="F12" s="8">
        <v>2100</v>
      </c>
      <c r="G12" s="9">
        <f>E12/F12</f>
        <v>1.6666666666666667</v>
      </c>
    </row>
    <row r="13" spans="1:7" x14ac:dyDescent="0.3">
      <c r="A13" s="8" t="s">
        <v>329</v>
      </c>
      <c r="B13" s="8">
        <v>50</v>
      </c>
      <c r="C13" s="9">
        <f t="shared" ref="C13:C15" si="1">G13*B13</f>
        <v>73.611111111111114</v>
      </c>
      <c r="D13" s="8" t="s">
        <v>329</v>
      </c>
      <c r="E13" s="8">
        <v>2650</v>
      </c>
      <c r="F13" s="8">
        <v>1800</v>
      </c>
      <c r="G13" s="9">
        <f t="shared" ref="G13:G17" si="2">E13/F13</f>
        <v>1.4722222222222223</v>
      </c>
    </row>
    <row r="14" spans="1:7" x14ac:dyDescent="0.3">
      <c r="A14" s="8" t="s">
        <v>72</v>
      </c>
      <c r="B14" s="8">
        <v>20</v>
      </c>
      <c r="C14" s="9">
        <f t="shared" si="1"/>
        <v>150</v>
      </c>
      <c r="D14" s="8" t="s">
        <v>72</v>
      </c>
      <c r="E14" s="8">
        <v>13500</v>
      </c>
      <c r="F14" s="8">
        <v>1800</v>
      </c>
      <c r="G14" s="9">
        <f t="shared" si="2"/>
        <v>7.5</v>
      </c>
    </row>
    <row r="15" spans="1:7" x14ac:dyDescent="0.3">
      <c r="A15" s="8" t="s">
        <v>385</v>
      </c>
      <c r="B15" s="8">
        <v>10</v>
      </c>
      <c r="C15" s="9">
        <f t="shared" si="1"/>
        <v>176.47058823529414</v>
      </c>
      <c r="D15" s="8" t="s">
        <v>385</v>
      </c>
      <c r="E15" s="8">
        <v>6000</v>
      </c>
      <c r="F15" s="8">
        <v>340</v>
      </c>
      <c r="G15" s="9">
        <f t="shared" si="2"/>
        <v>17.647058823529413</v>
      </c>
    </row>
    <row r="16" spans="1:7" x14ac:dyDescent="0.3">
      <c r="A16" s="8" t="s">
        <v>31</v>
      </c>
      <c r="B16" s="8">
        <v>150</v>
      </c>
      <c r="D16" s="8" t="s">
        <v>68</v>
      </c>
      <c r="E16" s="8">
        <v>1</v>
      </c>
      <c r="F16" s="8">
        <v>1</v>
      </c>
      <c r="G16" s="9">
        <f>E16/F16</f>
        <v>1</v>
      </c>
    </row>
    <row r="17" spans="1:7" x14ac:dyDescent="0.3">
      <c r="A17" s="8" t="s">
        <v>68</v>
      </c>
      <c r="B17" s="8" t="s">
        <v>110</v>
      </c>
      <c r="D17" s="8" t="s">
        <v>387</v>
      </c>
      <c r="E17" s="8">
        <v>1</v>
      </c>
      <c r="F17" s="8">
        <v>1</v>
      </c>
      <c r="G17" s="9">
        <f t="shared" si="2"/>
        <v>1</v>
      </c>
    </row>
    <row r="18" spans="1:7" x14ac:dyDescent="0.3">
      <c r="A18" s="8" t="s">
        <v>387</v>
      </c>
      <c r="B18" s="8" t="s">
        <v>386</v>
      </c>
    </row>
    <row r="21" spans="1:7" x14ac:dyDescent="0.3">
      <c r="A21" s="14" t="s">
        <v>339</v>
      </c>
      <c r="B21" s="14"/>
      <c r="C21" s="8">
        <f>SUM(C22:C31)</f>
        <v>0</v>
      </c>
      <c r="D21" s="8" t="s">
        <v>396</v>
      </c>
      <c r="E21" s="8" t="s">
        <v>397</v>
      </c>
      <c r="F21" s="8" t="s">
        <v>398</v>
      </c>
      <c r="G21" s="8" t="s">
        <v>399</v>
      </c>
    </row>
    <row r="22" spans="1:7" x14ac:dyDescent="0.3">
      <c r="A22" s="8" t="s">
        <v>31</v>
      </c>
      <c r="B22" s="8">
        <v>6000</v>
      </c>
      <c r="D22" s="8" t="s">
        <v>31</v>
      </c>
      <c r="G22" s="9" t="e">
        <f>E22/F22</f>
        <v>#DIV/0!</v>
      </c>
    </row>
    <row r="23" spans="1:7" x14ac:dyDescent="0.3">
      <c r="A23" s="8" t="s">
        <v>388</v>
      </c>
      <c r="B23" s="8">
        <v>60</v>
      </c>
      <c r="D23" s="8" t="s">
        <v>388</v>
      </c>
      <c r="G23" s="9" t="e">
        <f t="shared" ref="G23:G31" si="3">E23/F23</f>
        <v>#DIV/0!</v>
      </c>
    </row>
    <row r="24" spans="1:7" x14ac:dyDescent="0.3">
      <c r="A24" s="8" t="s">
        <v>389</v>
      </c>
      <c r="B24" s="8">
        <v>50</v>
      </c>
      <c r="D24" s="8" t="s">
        <v>389</v>
      </c>
      <c r="G24" s="9" t="e">
        <f t="shared" si="3"/>
        <v>#DIV/0!</v>
      </c>
    </row>
    <row r="25" spans="1:7" x14ac:dyDescent="0.3">
      <c r="A25" s="8" t="s">
        <v>390</v>
      </c>
      <c r="B25" s="8" t="s">
        <v>395</v>
      </c>
      <c r="D25" s="8" t="s">
        <v>390</v>
      </c>
      <c r="G25" s="9" t="e">
        <f t="shared" si="3"/>
        <v>#DIV/0!</v>
      </c>
    </row>
    <row r="26" spans="1:7" x14ac:dyDescent="0.3">
      <c r="A26" s="8" t="s">
        <v>391</v>
      </c>
      <c r="B26" s="8">
        <v>400</v>
      </c>
      <c r="D26" s="8" t="s">
        <v>391</v>
      </c>
      <c r="G26" s="9" t="e">
        <f t="shared" si="3"/>
        <v>#DIV/0!</v>
      </c>
    </row>
    <row r="27" spans="1:7" x14ac:dyDescent="0.3">
      <c r="A27" s="8" t="s">
        <v>392</v>
      </c>
      <c r="B27" s="8">
        <v>200</v>
      </c>
      <c r="D27" s="8" t="s">
        <v>392</v>
      </c>
      <c r="G27" s="9" t="e">
        <f t="shared" si="3"/>
        <v>#DIV/0!</v>
      </c>
    </row>
    <row r="28" spans="1:7" x14ac:dyDescent="0.3">
      <c r="A28" s="8" t="s">
        <v>393</v>
      </c>
      <c r="B28" s="8">
        <v>100</v>
      </c>
      <c r="D28" s="8" t="s">
        <v>393</v>
      </c>
      <c r="G28" s="9" t="e">
        <f t="shared" si="3"/>
        <v>#DIV/0!</v>
      </c>
    </row>
    <row r="29" spans="1:7" x14ac:dyDescent="0.3">
      <c r="A29" s="8" t="s">
        <v>69</v>
      </c>
      <c r="B29" s="8">
        <v>100</v>
      </c>
      <c r="D29" s="8" t="s">
        <v>69</v>
      </c>
      <c r="G29" s="9" t="e">
        <f t="shared" si="3"/>
        <v>#DIV/0!</v>
      </c>
    </row>
    <row r="30" spans="1:7" x14ac:dyDescent="0.3">
      <c r="A30" s="8" t="s">
        <v>394</v>
      </c>
      <c r="B30" s="8">
        <v>50</v>
      </c>
      <c r="D30" s="8" t="s">
        <v>394</v>
      </c>
      <c r="G30" s="9" t="e">
        <f t="shared" si="3"/>
        <v>#DIV/0!</v>
      </c>
    </row>
    <row r="31" spans="1:7" x14ac:dyDescent="0.3">
      <c r="A31" s="8" t="s">
        <v>15</v>
      </c>
      <c r="B31" s="8">
        <v>4000</v>
      </c>
      <c r="D31" s="8" t="s">
        <v>15</v>
      </c>
      <c r="G31" s="9" t="e">
        <f t="shared" si="3"/>
        <v>#DIV/0!</v>
      </c>
    </row>
  </sheetData>
  <mergeCells count="3">
    <mergeCell ref="A1:B1"/>
    <mergeCell ref="A11:B11"/>
    <mergeCell ref="A21:B21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9F8C-CAD4-4A2C-88A9-A17C59BBCA8B}">
  <dimension ref="A1:D41"/>
  <sheetViews>
    <sheetView workbookViewId="0">
      <selection activeCell="C2" sqref="C2"/>
    </sheetView>
  </sheetViews>
  <sheetFormatPr defaultRowHeight="16.5" x14ac:dyDescent="0.3"/>
  <cols>
    <col min="1" max="1" width="12.625" style="4" customWidth="1"/>
    <col min="2" max="16384" width="9" style="4"/>
  </cols>
  <sheetData>
    <row r="1" spans="1:4" x14ac:dyDescent="0.3">
      <c r="A1" s="12" t="s">
        <v>354</v>
      </c>
      <c r="B1" s="12"/>
      <c r="D1" s="4" t="s">
        <v>164</v>
      </c>
    </row>
    <row r="2" spans="1:4" x14ac:dyDescent="0.3">
      <c r="A2" s="4" t="s">
        <v>358</v>
      </c>
      <c r="B2" s="4" t="s">
        <v>139</v>
      </c>
    </row>
    <row r="3" spans="1:4" x14ac:dyDescent="0.3">
      <c r="A3" s="4" t="s">
        <v>352</v>
      </c>
      <c r="B3" s="4" t="s">
        <v>123</v>
      </c>
    </row>
    <row r="4" spans="1:4" x14ac:dyDescent="0.3">
      <c r="A4" s="4" t="s">
        <v>338</v>
      </c>
      <c r="B4" s="4" t="s">
        <v>356</v>
      </c>
    </row>
    <row r="5" spans="1:4" x14ac:dyDescent="0.3">
      <c r="A5" s="4" t="s">
        <v>347</v>
      </c>
      <c r="B5" s="4" t="s">
        <v>116</v>
      </c>
    </row>
    <row r="6" spans="1:4" x14ac:dyDescent="0.3">
      <c r="A6" s="4" t="s">
        <v>348</v>
      </c>
      <c r="B6" s="4" t="s">
        <v>357</v>
      </c>
    </row>
    <row r="7" spans="1:4" x14ac:dyDescent="0.3">
      <c r="A7" s="4" t="s">
        <v>349</v>
      </c>
      <c r="B7" s="4" t="s">
        <v>129</v>
      </c>
    </row>
    <row r="8" spans="1:4" x14ac:dyDescent="0.3">
      <c r="A8" s="4" t="s">
        <v>350</v>
      </c>
      <c r="B8" s="4" t="s">
        <v>291</v>
      </c>
    </row>
    <row r="9" spans="1:4" x14ac:dyDescent="0.3">
      <c r="A9" s="4" t="s">
        <v>27</v>
      </c>
      <c r="B9" s="4" t="s">
        <v>129</v>
      </c>
    </row>
    <row r="10" spans="1:4" x14ac:dyDescent="0.3">
      <c r="A10" s="4" t="s">
        <v>351</v>
      </c>
      <c r="B10" s="4" t="s">
        <v>116</v>
      </c>
    </row>
    <row r="11" spans="1:4" x14ac:dyDescent="0.3">
      <c r="A11" s="4" t="s">
        <v>353</v>
      </c>
      <c r="B11" s="4" t="s">
        <v>224</v>
      </c>
    </row>
    <row r="16" spans="1:4" x14ac:dyDescent="0.3">
      <c r="A16" s="12" t="s">
        <v>355</v>
      </c>
      <c r="B16" s="12"/>
    </row>
    <row r="17" spans="1:2" x14ac:dyDescent="0.3">
      <c r="A17" s="4" t="s">
        <v>359</v>
      </c>
      <c r="B17" s="4" t="s">
        <v>276</v>
      </c>
    </row>
    <row r="18" spans="1:2" x14ac:dyDescent="0.3">
      <c r="A18" s="4" t="s">
        <v>11</v>
      </c>
      <c r="B18" s="4" t="s">
        <v>146</v>
      </c>
    </row>
    <row r="19" spans="1:2" x14ac:dyDescent="0.3">
      <c r="A19" s="4" t="s">
        <v>42</v>
      </c>
      <c r="B19" s="4" t="s">
        <v>203</v>
      </c>
    </row>
    <row r="20" spans="1:2" x14ac:dyDescent="0.3">
      <c r="A20" s="4" t="s">
        <v>360</v>
      </c>
      <c r="B20" s="4" t="s">
        <v>369</v>
      </c>
    </row>
    <row r="21" spans="1:2" x14ac:dyDescent="0.3">
      <c r="A21" s="4" t="s">
        <v>328</v>
      </c>
      <c r="B21" s="4" t="s">
        <v>139</v>
      </c>
    </row>
    <row r="22" spans="1:2" x14ac:dyDescent="0.3">
      <c r="A22" s="4" t="s">
        <v>361</v>
      </c>
      <c r="B22" s="4" t="s">
        <v>117</v>
      </c>
    </row>
    <row r="23" spans="1:2" x14ac:dyDescent="0.3">
      <c r="A23" s="4" t="s">
        <v>68</v>
      </c>
      <c r="B23" s="4" t="s">
        <v>150</v>
      </c>
    </row>
    <row r="24" spans="1:2" x14ac:dyDescent="0.3">
      <c r="A24" s="4" t="s">
        <v>362</v>
      </c>
      <c r="B24" s="4" t="s">
        <v>120</v>
      </c>
    </row>
    <row r="25" spans="1:2" x14ac:dyDescent="0.3">
      <c r="A25" s="4" t="s">
        <v>236</v>
      </c>
      <c r="B25" s="4" t="s">
        <v>370</v>
      </c>
    </row>
    <row r="26" spans="1:2" x14ac:dyDescent="0.3">
      <c r="A26" s="4" t="s">
        <v>34</v>
      </c>
      <c r="B26" s="4" t="s">
        <v>119</v>
      </c>
    </row>
    <row r="27" spans="1:2" x14ac:dyDescent="0.3">
      <c r="A27" s="4" t="s">
        <v>363</v>
      </c>
      <c r="B27" s="4" t="s">
        <v>269</v>
      </c>
    </row>
    <row r="28" spans="1:2" x14ac:dyDescent="0.3">
      <c r="A28" s="4" t="s">
        <v>364</v>
      </c>
      <c r="B28" s="4" t="s">
        <v>371</v>
      </c>
    </row>
    <row r="29" spans="1:2" x14ac:dyDescent="0.3">
      <c r="A29" s="4" t="s">
        <v>365</v>
      </c>
      <c r="B29" s="4" t="s">
        <v>123</v>
      </c>
    </row>
    <row r="30" spans="1:2" x14ac:dyDescent="0.3">
      <c r="A30" s="4" t="s">
        <v>366</v>
      </c>
      <c r="B30" s="4" t="s">
        <v>372</v>
      </c>
    </row>
    <row r="31" spans="1:2" x14ac:dyDescent="0.3">
      <c r="A31" s="4" t="s">
        <v>367</v>
      </c>
      <c r="B31" s="4" t="s">
        <v>373</v>
      </c>
    </row>
    <row r="32" spans="1:2" x14ac:dyDescent="0.3">
      <c r="A32" s="4" t="s">
        <v>329</v>
      </c>
      <c r="B32" s="4" t="s">
        <v>269</v>
      </c>
    </row>
    <row r="33" spans="1:2" x14ac:dyDescent="0.3">
      <c r="A33" s="4" t="s">
        <v>368</v>
      </c>
      <c r="B33" s="4" t="s">
        <v>292</v>
      </c>
    </row>
    <row r="34" spans="1:2" x14ac:dyDescent="0.3">
      <c r="A34" s="4" t="s">
        <v>92</v>
      </c>
      <c r="B34" s="4" t="s">
        <v>224</v>
      </c>
    </row>
    <row r="37" spans="1:2" x14ac:dyDescent="0.3">
      <c r="A37" s="12" t="s">
        <v>374</v>
      </c>
      <c r="B37" s="12"/>
    </row>
    <row r="38" spans="1:2" x14ac:dyDescent="0.3">
      <c r="A38" s="4" t="s">
        <v>375</v>
      </c>
    </row>
    <row r="39" spans="1:2" x14ac:dyDescent="0.3">
      <c r="A39" s="4" t="s">
        <v>11</v>
      </c>
    </row>
    <row r="40" spans="1:2" x14ac:dyDescent="0.3">
      <c r="A40" s="4" t="s">
        <v>42</v>
      </c>
    </row>
    <row r="41" spans="1:2" x14ac:dyDescent="0.3">
      <c r="A41" s="4" t="s">
        <v>72</v>
      </c>
    </row>
  </sheetData>
  <mergeCells count="3">
    <mergeCell ref="A1:B1"/>
    <mergeCell ref="A16:B16"/>
    <mergeCell ref="A37:B37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A1AA-2AAD-486B-B815-F75B6B5497CD}">
  <dimension ref="A1"/>
  <sheetViews>
    <sheetView workbookViewId="0">
      <selection activeCell="P27" sqref="P27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9249-0D5F-4026-819B-18E81D411AA3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624F-FA99-4FBE-B3B9-A626A00D3589}">
  <dimension ref="A1"/>
  <sheetViews>
    <sheetView workbookViewId="0">
      <selection activeCell="N26" sqref="N26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974D-5934-4B9A-A1A8-F61CFC074F24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5DEA-73FA-4B6A-96E0-4F46D4FB4111}">
  <dimension ref="A1"/>
  <sheetViews>
    <sheetView workbookViewId="0">
      <selection activeCell="O25" sqref="O25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F93F-4BEE-433A-9F86-F159F0A68FEA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5A8A-6653-435D-8AD0-C2D89EC215A7}">
  <dimension ref="A1:D15"/>
  <sheetViews>
    <sheetView workbookViewId="0">
      <selection activeCell="H24" sqref="H24"/>
    </sheetView>
  </sheetViews>
  <sheetFormatPr defaultRowHeight="16.5" x14ac:dyDescent="0.3"/>
  <cols>
    <col min="1" max="1" width="12.5" style="4" customWidth="1"/>
    <col min="2" max="2" width="9" style="4"/>
  </cols>
  <sheetData>
    <row r="1" spans="1:4" x14ac:dyDescent="0.3">
      <c r="A1" s="12" t="s">
        <v>376</v>
      </c>
      <c r="B1" s="12"/>
      <c r="D1" t="s">
        <v>164</v>
      </c>
    </row>
    <row r="2" spans="1:4" x14ac:dyDescent="0.3">
      <c r="A2" s="4" t="s">
        <v>343</v>
      </c>
    </row>
    <row r="3" spans="1:4" x14ac:dyDescent="0.3">
      <c r="A3" s="4" t="s">
        <v>377</v>
      </c>
      <c r="B3" s="4" t="s">
        <v>378</v>
      </c>
    </row>
    <row r="4" spans="1:4" x14ac:dyDescent="0.3">
      <c r="A4" s="4" t="s">
        <v>27</v>
      </c>
    </row>
    <row r="5" spans="1:4" x14ac:dyDescent="0.3">
      <c r="A5" s="4" t="s">
        <v>349</v>
      </c>
    </row>
    <row r="11" spans="1:4" x14ac:dyDescent="0.3">
      <c r="A11" s="12" t="s">
        <v>343</v>
      </c>
      <c r="B11" s="12"/>
    </row>
    <row r="12" spans="1:4" x14ac:dyDescent="0.3">
      <c r="A12" s="4" t="s">
        <v>342</v>
      </c>
      <c r="B12" s="4" t="s">
        <v>379</v>
      </c>
    </row>
    <row r="13" spans="1:4" x14ac:dyDescent="0.3">
      <c r="A13" s="4" t="s">
        <v>70</v>
      </c>
      <c r="B13" s="4" t="s">
        <v>150</v>
      </c>
    </row>
    <row r="14" spans="1:4" x14ac:dyDescent="0.3">
      <c r="A14" s="4" t="s">
        <v>42</v>
      </c>
      <c r="B14" s="4" t="s">
        <v>150</v>
      </c>
    </row>
    <row r="15" spans="1:4" x14ac:dyDescent="0.3">
      <c r="A15" s="4" t="s">
        <v>380</v>
      </c>
      <c r="B15" s="4" t="s">
        <v>301</v>
      </c>
    </row>
  </sheetData>
  <mergeCells count="2">
    <mergeCell ref="A1:B1"/>
    <mergeCell ref="A11:B11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38E9-F145-4801-A66E-9B3D2636B647}">
  <dimension ref="A1:D15"/>
  <sheetViews>
    <sheetView workbookViewId="0">
      <selection sqref="A1:XFD1048576"/>
    </sheetView>
  </sheetViews>
  <sheetFormatPr defaultRowHeight="16.5" x14ac:dyDescent="0.3"/>
  <cols>
    <col min="1" max="1" width="12.5" style="4" customWidth="1"/>
    <col min="2" max="2" width="9" style="4"/>
  </cols>
  <sheetData>
    <row r="1" spans="1:4" x14ac:dyDescent="0.3">
      <c r="A1" s="12" t="s">
        <v>335</v>
      </c>
      <c r="B1" s="12"/>
      <c r="D1" t="s">
        <v>164</v>
      </c>
    </row>
    <row r="2" spans="1:4" x14ac:dyDescent="0.3">
      <c r="A2" s="4" t="s">
        <v>336</v>
      </c>
    </row>
    <row r="3" spans="1:4" x14ac:dyDescent="0.3">
      <c r="A3" s="4" t="s">
        <v>337</v>
      </c>
      <c r="B3" s="4" t="s">
        <v>139</v>
      </c>
    </row>
    <row r="4" spans="1:4" x14ac:dyDescent="0.3">
      <c r="A4" s="4" t="s">
        <v>338</v>
      </c>
    </row>
    <row r="5" spans="1:4" x14ac:dyDescent="0.3">
      <c r="A5" s="4" t="s">
        <v>340</v>
      </c>
    </row>
    <row r="6" spans="1:4" x14ac:dyDescent="0.3">
      <c r="A6" s="4" t="s">
        <v>341</v>
      </c>
    </row>
    <row r="11" spans="1:4" x14ac:dyDescent="0.3">
      <c r="A11" s="12" t="s">
        <v>336</v>
      </c>
      <c r="B11" s="12"/>
    </row>
    <row r="12" spans="1:4" x14ac:dyDescent="0.3">
      <c r="A12" s="4" t="s">
        <v>343</v>
      </c>
      <c r="B12" s="4" t="s">
        <v>123</v>
      </c>
    </row>
    <row r="13" spans="1:4" x14ac:dyDescent="0.3">
      <c r="A13" s="4" t="s">
        <v>344</v>
      </c>
      <c r="B13" s="4" t="s">
        <v>150</v>
      </c>
    </row>
    <row r="14" spans="1:4" x14ac:dyDescent="0.3">
      <c r="A14" s="4" t="s">
        <v>345</v>
      </c>
      <c r="B14" s="4" t="s">
        <v>150</v>
      </c>
    </row>
    <row r="15" spans="1:4" x14ac:dyDescent="0.3">
      <c r="A15" s="4" t="s">
        <v>346</v>
      </c>
      <c r="B15" s="4" t="s">
        <v>139</v>
      </c>
    </row>
  </sheetData>
  <mergeCells count="2">
    <mergeCell ref="A1:B1"/>
    <mergeCell ref="A11:B11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CBB6-196B-4575-AF13-28147B74B4BE}">
  <sheetPr>
    <pageSetUpPr fitToPage="1"/>
  </sheetPr>
  <dimension ref="A1:M63"/>
  <sheetViews>
    <sheetView workbookViewId="0">
      <selection activeCell="M2" sqref="M2"/>
    </sheetView>
  </sheetViews>
  <sheetFormatPr defaultRowHeight="16.5" x14ac:dyDescent="0.3"/>
  <cols>
    <col min="1" max="8" width="18.125" style="4" customWidth="1"/>
    <col min="9" max="16384" width="9" style="4"/>
  </cols>
  <sheetData>
    <row r="1" spans="1:13" s="5" customFormat="1" x14ac:dyDescent="0.3">
      <c r="A1" s="5" t="s">
        <v>47</v>
      </c>
      <c r="B1" s="5" t="s">
        <v>48</v>
      </c>
      <c r="C1" s="5" t="s">
        <v>49</v>
      </c>
      <c r="D1" s="5" t="s">
        <v>104</v>
      </c>
      <c r="E1" s="5" t="s">
        <v>98</v>
      </c>
      <c r="F1" s="5" t="s">
        <v>105</v>
      </c>
      <c r="G1" s="5" t="s">
        <v>50</v>
      </c>
      <c r="H1" s="5" t="s">
        <v>51</v>
      </c>
      <c r="J1" s="4" t="s">
        <v>99</v>
      </c>
    </row>
    <row r="2" spans="1:13" x14ac:dyDescent="0.3">
      <c r="A2" s="4" t="s">
        <v>15</v>
      </c>
      <c r="B2" s="4" t="s">
        <v>54</v>
      </c>
      <c r="C2" s="4" t="s">
        <v>61</v>
      </c>
      <c r="D2" s="4" t="s">
        <v>58</v>
      </c>
      <c r="E2" s="4" t="s">
        <v>65</v>
      </c>
      <c r="F2" s="4" t="s">
        <v>75</v>
      </c>
      <c r="G2" s="4" t="s">
        <v>78</v>
      </c>
      <c r="H2" s="4" t="s">
        <v>82</v>
      </c>
      <c r="J2" s="4" t="s">
        <v>73</v>
      </c>
      <c r="M2" s="4" t="s">
        <v>339</v>
      </c>
    </row>
    <row r="3" spans="1:13" x14ac:dyDescent="0.3">
      <c r="A3" s="4" t="s">
        <v>52</v>
      </c>
      <c r="B3" s="4" t="s">
        <v>55</v>
      </c>
      <c r="C3" s="4" t="s">
        <v>62</v>
      </c>
      <c r="D3" s="4" t="s">
        <v>23</v>
      </c>
      <c r="E3" s="4" t="s">
        <v>66</v>
      </c>
      <c r="F3" s="4" t="s">
        <v>43</v>
      </c>
      <c r="G3" s="4" t="s">
        <v>79</v>
      </c>
      <c r="H3" s="4" t="s">
        <v>83</v>
      </c>
      <c r="J3" s="4" t="s">
        <v>81</v>
      </c>
    </row>
    <row r="4" spans="1:13" x14ac:dyDescent="0.3">
      <c r="A4" s="4" t="s">
        <v>19</v>
      </c>
      <c r="B4" s="4" t="s">
        <v>43</v>
      </c>
      <c r="C4" s="4" t="s">
        <v>63</v>
      </c>
      <c r="D4" s="4" t="s">
        <v>46</v>
      </c>
      <c r="E4" s="4" t="s">
        <v>68</v>
      </c>
      <c r="F4" s="4" t="s">
        <v>21</v>
      </c>
      <c r="G4" s="4" t="s">
        <v>80</v>
      </c>
      <c r="H4" s="4" t="s">
        <v>84</v>
      </c>
      <c r="J4" s="4" t="s">
        <v>68</v>
      </c>
    </row>
    <row r="5" spans="1:13" x14ac:dyDescent="0.3">
      <c r="A5" s="4" t="s">
        <v>43</v>
      </c>
      <c r="B5" s="4" t="s">
        <v>14</v>
      </c>
      <c r="C5" s="4" t="s">
        <v>25</v>
      </c>
      <c r="D5" s="4" t="s">
        <v>11</v>
      </c>
      <c r="E5" s="4" t="s">
        <v>69</v>
      </c>
      <c r="F5" s="4" t="s">
        <v>60</v>
      </c>
      <c r="G5" s="4" t="s">
        <v>81</v>
      </c>
      <c r="H5" s="4" t="s">
        <v>85</v>
      </c>
      <c r="J5" s="4" t="s">
        <v>90</v>
      </c>
    </row>
    <row r="6" spans="1:13" x14ac:dyDescent="0.3">
      <c r="A6" s="4" t="s">
        <v>14</v>
      </c>
      <c r="B6" s="4" t="s">
        <v>56</v>
      </c>
      <c r="C6" s="4" t="s">
        <v>64</v>
      </c>
      <c r="D6" s="4" t="s">
        <v>59</v>
      </c>
      <c r="E6" s="4" t="s">
        <v>70</v>
      </c>
      <c r="F6" s="4" t="s">
        <v>76</v>
      </c>
      <c r="G6" s="4" t="s">
        <v>89</v>
      </c>
      <c r="H6" s="4" t="s">
        <v>92</v>
      </c>
      <c r="J6" s="4" t="s">
        <v>89</v>
      </c>
    </row>
    <row r="7" spans="1:13" x14ac:dyDescent="0.3">
      <c r="A7" s="4" t="s">
        <v>53</v>
      </c>
      <c r="B7" s="4" t="s">
        <v>23</v>
      </c>
      <c r="D7" s="4" t="s">
        <v>13</v>
      </c>
      <c r="E7" s="4" t="s">
        <v>11</v>
      </c>
      <c r="F7" s="4" t="s">
        <v>77</v>
      </c>
      <c r="G7" s="4" t="s">
        <v>42</v>
      </c>
      <c r="H7" s="4" t="s">
        <v>94</v>
      </c>
      <c r="J7" s="4" t="s">
        <v>96</v>
      </c>
    </row>
    <row r="8" spans="1:13" x14ac:dyDescent="0.3">
      <c r="A8" s="4" t="s">
        <v>23</v>
      </c>
      <c r="B8" s="4" t="s">
        <v>57</v>
      </c>
      <c r="D8" s="4" t="s">
        <v>12</v>
      </c>
      <c r="E8" s="4" t="s">
        <v>42</v>
      </c>
      <c r="F8" s="4" t="s">
        <v>103</v>
      </c>
      <c r="G8" s="4" t="s">
        <v>59</v>
      </c>
      <c r="H8" s="4" t="s">
        <v>42</v>
      </c>
      <c r="J8" s="4" t="s">
        <v>83</v>
      </c>
    </row>
    <row r="9" spans="1:13" x14ac:dyDescent="0.3">
      <c r="A9" s="4" t="s">
        <v>26</v>
      </c>
      <c r="D9" s="4" t="s">
        <v>60</v>
      </c>
      <c r="E9" s="4" t="s">
        <v>71</v>
      </c>
      <c r="G9" s="4" t="s">
        <v>43</v>
      </c>
      <c r="J9" s="4" t="s">
        <v>82</v>
      </c>
    </row>
    <row r="10" spans="1:13" x14ac:dyDescent="0.3">
      <c r="A10" s="4" t="s">
        <v>70</v>
      </c>
      <c r="D10" s="4" t="s">
        <v>114</v>
      </c>
      <c r="E10" s="4" t="s">
        <v>72</v>
      </c>
      <c r="G10" s="4" t="s">
        <v>90</v>
      </c>
      <c r="J10" s="4" t="s">
        <v>84</v>
      </c>
    </row>
    <row r="11" spans="1:13" x14ac:dyDescent="0.3">
      <c r="A11" s="4" t="s">
        <v>96</v>
      </c>
      <c r="E11" s="4" t="s">
        <v>73</v>
      </c>
      <c r="G11" s="4" t="s">
        <v>91</v>
      </c>
      <c r="J11" s="4" t="s">
        <v>78</v>
      </c>
    </row>
    <row r="12" spans="1:13" x14ac:dyDescent="0.3">
      <c r="A12" s="4" t="s">
        <v>67</v>
      </c>
      <c r="E12" s="4" t="s">
        <v>74</v>
      </c>
      <c r="G12" s="4" t="s">
        <v>92</v>
      </c>
      <c r="J12" s="4" t="s">
        <v>75</v>
      </c>
    </row>
    <row r="13" spans="1:13" x14ac:dyDescent="0.3">
      <c r="A13" s="4" t="s">
        <v>97</v>
      </c>
      <c r="E13" s="4" t="s">
        <v>86</v>
      </c>
      <c r="G13" s="4" t="s">
        <v>93</v>
      </c>
      <c r="J13" s="4" t="s">
        <v>19</v>
      </c>
    </row>
    <row r="14" spans="1:13" x14ac:dyDescent="0.3">
      <c r="A14" s="4" t="s">
        <v>11</v>
      </c>
      <c r="E14" s="4" t="s">
        <v>87</v>
      </c>
      <c r="G14" s="4" t="s">
        <v>95</v>
      </c>
      <c r="J14" s="4" t="s">
        <v>86</v>
      </c>
    </row>
    <row r="15" spans="1:13" x14ac:dyDescent="0.3">
      <c r="A15" s="4" t="s">
        <v>42</v>
      </c>
      <c r="E15" s="4" t="s">
        <v>101</v>
      </c>
      <c r="G15" s="4" t="s">
        <v>243</v>
      </c>
      <c r="J15" s="4" t="s">
        <v>11</v>
      </c>
    </row>
    <row r="16" spans="1:13" x14ac:dyDescent="0.3">
      <c r="A16" s="4" t="s">
        <v>99</v>
      </c>
      <c r="E16" s="4" t="s">
        <v>88</v>
      </c>
      <c r="J16" s="4" t="s">
        <v>88</v>
      </c>
    </row>
    <row r="17" spans="1:10" x14ac:dyDescent="0.3">
      <c r="A17" s="4" t="s">
        <v>71</v>
      </c>
      <c r="E17" s="4" t="s">
        <v>13</v>
      </c>
      <c r="J17" s="4" t="s">
        <v>66</v>
      </c>
    </row>
    <row r="18" spans="1:10" x14ac:dyDescent="0.3">
      <c r="E18" s="4" t="s">
        <v>12</v>
      </c>
      <c r="J18" s="4" t="s">
        <v>97</v>
      </c>
    </row>
    <row r="19" spans="1:10" x14ac:dyDescent="0.3">
      <c r="E19" s="4" t="s">
        <v>102</v>
      </c>
      <c r="J19" s="4" t="s">
        <v>79</v>
      </c>
    </row>
    <row r="20" spans="1:10" x14ac:dyDescent="0.3">
      <c r="E20" s="4" t="s">
        <v>100</v>
      </c>
      <c r="J20" s="4" t="s">
        <v>94</v>
      </c>
    </row>
    <row r="21" spans="1:10" x14ac:dyDescent="0.3">
      <c r="E21" s="4" t="s">
        <v>23</v>
      </c>
      <c r="J21" s="4" t="s">
        <v>92</v>
      </c>
    </row>
    <row r="22" spans="1:10" x14ac:dyDescent="0.3">
      <c r="E22" s="4" t="s">
        <v>46</v>
      </c>
      <c r="J22" s="4" t="s">
        <v>21</v>
      </c>
    </row>
    <row r="23" spans="1:10" x14ac:dyDescent="0.3">
      <c r="J23" s="4" t="s">
        <v>43</v>
      </c>
    </row>
    <row r="24" spans="1:10" x14ac:dyDescent="0.3">
      <c r="J24" s="4" t="s">
        <v>91</v>
      </c>
    </row>
    <row r="25" spans="1:10" x14ac:dyDescent="0.3">
      <c r="J25" s="4" t="s">
        <v>74</v>
      </c>
    </row>
    <row r="26" spans="1:10" x14ac:dyDescent="0.3">
      <c r="J26" s="4" t="s">
        <v>71</v>
      </c>
    </row>
    <row r="27" spans="1:10" x14ac:dyDescent="0.3">
      <c r="J27" s="4" t="s">
        <v>70</v>
      </c>
    </row>
    <row r="28" spans="1:10" x14ac:dyDescent="0.3">
      <c r="J28" s="4" t="s">
        <v>54</v>
      </c>
    </row>
    <row r="29" spans="1:10" x14ac:dyDescent="0.3">
      <c r="J29" s="4" t="s">
        <v>61</v>
      </c>
    </row>
    <row r="30" spans="1:10" x14ac:dyDescent="0.3">
      <c r="J30" s="4" t="s">
        <v>52</v>
      </c>
    </row>
    <row r="31" spans="1:10" x14ac:dyDescent="0.3">
      <c r="J31" s="4" t="s">
        <v>77</v>
      </c>
    </row>
    <row r="32" spans="1:10" x14ac:dyDescent="0.3">
      <c r="J32" s="4" t="s">
        <v>85</v>
      </c>
    </row>
    <row r="33" spans="10:10" x14ac:dyDescent="0.3">
      <c r="J33" s="4" t="s">
        <v>64</v>
      </c>
    </row>
    <row r="34" spans="10:10" x14ac:dyDescent="0.3">
      <c r="J34" s="4" t="s">
        <v>60</v>
      </c>
    </row>
    <row r="35" spans="10:10" x14ac:dyDescent="0.3">
      <c r="J35" s="4" t="s">
        <v>62</v>
      </c>
    </row>
    <row r="36" spans="10:10" x14ac:dyDescent="0.3">
      <c r="J36" s="4" t="s">
        <v>57</v>
      </c>
    </row>
    <row r="37" spans="10:10" x14ac:dyDescent="0.3">
      <c r="J37" s="4" t="s">
        <v>59</v>
      </c>
    </row>
    <row r="38" spans="10:10" x14ac:dyDescent="0.3">
      <c r="J38" s="4" t="s">
        <v>103</v>
      </c>
    </row>
    <row r="39" spans="10:10" x14ac:dyDescent="0.3">
      <c r="J39" s="4" t="s">
        <v>101</v>
      </c>
    </row>
    <row r="40" spans="10:10" x14ac:dyDescent="0.3">
      <c r="J40" s="4" t="s">
        <v>42</v>
      </c>
    </row>
    <row r="41" spans="10:10" x14ac:dyDescent="0.3">
      <c r="J41" s="4" t="s">
        <v>100</v>
      </c>
    </row>
    <row r="42" spans="10:10" x14ac:dyDescent="0.3">
      <c r="J42" s="4" t="s">
        <v>25</v>
      </c>
    </row>
    <row r="43" spans="10:10" x14ac:dyDescent="0.3">
      <c r="J43" s="4" t="s">
        <v>55</v>
      </c>
    </row>
    <row r="44" spans="10:10" x14ac:dyDescent="0.3">
      <c r="J44" s="4" t="s">
        <v>95</v>
      </c>
    </row>
    <row r="45" spans="10:10" x14ac:dyDescent="0.3">
      <c r="J45" s="4" t="s">
        <v>53</v>
      </c>
    </row>
    <row r="46" spans="10:10" x14ac:dyDescent="0.3">
      <c r="J46" s="4" t="s">
        <v>14</v>
      </c>
    </row>
    <row r="47" spans="10:10" x14ac:dyDescent="0.3">
      <c r="J47" s="4" t="s">
        <v>93</v>
      </c>
    </row>
    <row r="48" spans="10:10" x14ac:dyDescent="0.3">
      <c r="J48" s="4" t="s">
        <v>46</v>
      </c>
    </row>
    <row r="49" spans="10:10" x14ac:dyDescent="0.3">
      <c r="J49" s="4" t="s">
        <v>69</v>
      </c>
    </row>
    <row r="50" spans="10:10" x14ac:dyDescent="0.3">
      <c r="J50" s="4" t="s">
        <v>26</v>
      </c>
    </row>
    <row r="51" spans="10:10" x14ac:dyDescent="0.3">
      <c r="J51" s="4" t="s">
        <v>65</v>
      </c>
    </row>
    <row r="52" spans="10:10" x14ac:dyDescent="0.3">
      <c r="J52" s="4" t="s">
        <v>72</v>
      </c>
    </row>
    <row r="53" spans="10:10" x14ac:dyDescent="0.3">
      <c r="J53" s="4" t="s">
        <v>13</v>
      </c>
    </row>
    <row r="54" spans="10:10" x14ac:dyDescent="0.3">
      <c r="J54" s="4" t="s">
        <v>23</v>
      </c>
    </row>
    <row r="55" spans="10:10" x14ac:dyDescent="0.3">
      <c r="J55" s="4" t="s">
        <v>56</v>
      </c>
    </row>
    <row r="56" spans="10:10" x14ac:dyDescent="0.3">
      <c r="J56" s="4" t="s">
        <v>67</v>
      </c>
    </row>
    <row r="57" spans="10:10" x14ac:dyDescent="0.3">
      <c r="J57" s="4" t="s">
        <v>80</v>
      </c>
    </row>
    <row r="58" spans="10:10" x14ac:dyDescent="0.3">
      <c r="J58" s="4" t="s">
        <v>87</v>
      </c>
    </row>
    <row r="59" spans="10:10" x14ac:dyDescent="0.3">
      <c r="J59" s="4" t="s">
        <v>76</v>
      </c>
    </row>
    <row r="60" spans="10:10" x14ac:dyDescent="0.3">
      <c r="J60" s="4" t="s">
        <v>102</v>
      </c>
    </row>
    <row r="61" spans="10:10" x14ac:dyDescent="0.3">
      <c r="J61" s="4" t="s">
        <v>12</v>
      </c>
    </row>
    <row r="62" spans="10:10" x14ac:dyDescent="0.3">
      <c r="J62" s="4" t="s">
        <v>243</v>
      </c>
    </row>
    <row r="63" spans="10:10" x14ac:dyDescent="0.3">
      <c r="J63" s="5"/>
    </row>
  </sheetData>
  <sortState xmlns:xlrd2="http://schemas.microsoft.com/office/spreadsheetml/2017/richdata2" ref="J1:J63">
    <sortCondition ref="J1:J63"/>
  </sortState>
  <phoneticPr fontId="1" type="noConversion"/>
  <pageMargins left="0.7" right="0.7" top="0.75" bottom="0.75" header="0.3" footer="0.3"/>
  <pageSetup paperSize="9" scale="44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계량</vt:lpstr>
      <vt:lpstr>사전 세팅</vt:lpstr>
      <vt:lpstr>크리스피수육</vt:lpstr>
      <vt:lpstr>명란 파스타</vt:lpstr>
      <vt:lpstr>마라닭발 튀김</vt:lpstr>
      <vt:lpstr>봉골래조개탕</vt:lpstr>
      <vt:lpstr>차돌버섯전골</vt:lpstr>
      <vt:lpstr>감바스바게트</vt:lpstr>
      <vt:lpstr>브리스킷 버거</vt:lpstr>
      <vt:lpstr>마체도니아</vt:lpstr>
      <vt:lpstr>유린기</vt:lpstr>
      <vt:lpstr>차돌로제떡볶이</vt:lpstr>
      <vt:lpstr>낙지비빔파스타</vt:lpstr>
      <vt:lpstr>키토김밥</vt:lpstr>
      <vt:lpstr>토마토파스타</vt:lpstr>
      <vt:lpstr>Sheet15</vt:lpstr>
      <vt:lpstr>차슈 간장파스타</vt:lpstr>
      <vt:lpstr>물육회</vt:lpstr>
      <vt:lpstr>육회비빔밥</vt:lpstr>
      <vt:lpstr>고추장육회</vt:lpstr>
      <vt:lpstr>연어사시미</vt:lpstr>
      <vt:lpstr>연어사케동</vt:lpstr>
      <vt:lpstr>연어스테이크덮밥</vt:lpstr>
      <vt:lpstr>닭껍질튀김</vt:lpstr>
      <vt:lpstr>두부김치</vt:lpstr>
      <vt:lpstr>김치전</vt:lpstr>
      <vt:lpstr>재료정리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H110M-K</dc:creator>
  <cp:lastModifiedBy>H110M-K</cp:lastModifiedBy>
  <cp:lastPrinted>2023-08-21T09:02:49Z</cp:lastPrinted>
  <dcterms:created xsi:type="dcterms:W3CDTF">2022-05-24T06:27:44Z</dcterms:created>
  <dcterms:modified xsi:type="dcterms:W3CDTF">2023-09-09T04:14:14Z</dcterms:modified>
</cp:coreProperties>
</file>