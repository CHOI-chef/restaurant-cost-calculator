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110M-K\Desktop\"/>
    </mc:Choice>
  </mc:AlternateContent>
  <xr:revisionPtr revIDLastSave="0" documentId="13_ncr:1_{4443E8AD-D4B7-45C2-8C02-A1391266A05D}" xr6:coauthVersionLast="47" xr6:coauthVersionMax="47" xr10:uidLastSave="{00000000-0000-0000-0000-000000000000}"/>
  <bookViews>
    <workbookView xWindow="-120" yWindow="-120" windowWidth="29040" windowHeight="15840" activeTab="2" xr2:uid="{13A44779-78D7-4213-9650-235D09B973B4}"/>
  </bookViews>
  <sheets>
    <sheet name="레시피 무게" sheetId="1" r:id="rId1"/>
    <sheet name="단위당 단가" sheetId="2" r:id="rId2"/>
    <sheet name="큐바노 단가" sheetId="3" r:id="rId3"/>
    <sheet name="냉파스타 단가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22" i="3" l="1"/>
  <c r="S23" i="3"/>
  <c r="S24" i="3"/>
  <c r="S25" i="3"/>
  <c r="S26" i="3"/>
  <c r="S27" i="3"/>
  <c r="S21" i="3"/>
  <c r="S28" i="3" s="1"/>
  <c r="S22" i="4"/>
  <c r="S21" i="4"/>
  <c r="T17" i="4"/>
  <c r="T18" i="4"/>
  <c r="T19" i="4"/>
  <c r="T20" i="4"/>
  <c r="T21" i="4"/>
  <c r="S17" i="4"/>
  <c r="S18" i="4"/>
  <c r="S19" i="4"/>
  <c r="S20" i="4"/>
  <c r="T16" i="4"/>
  <c r="S16" i="4"/>
  <c r="J32" i="2"/>
  <c r="I32" i="2"/>
  <c r="H32" i="2"/>
  <c r="S11" i="4"/>
  <c r="S5" i="4"/>
  <c r="S6" i="4"/>
  <c r="S7" i="4"/>
  <c r="S8" i="4"/>
  <c r="S9" i="4"/>
  <c r="S4" i="4"/>
  <c r="T5" i="4"/>
  <c r="T6" i="4"/>
  <c r="T7" i="4"/>
  <c r="T8" i="4"/>
  <c r="T9" i="4"/>
  <c r="T4" i="4"/>
  <c r="I31" i="3"/>
  <c r="I32" i="3"/>
  <c r="H31" i="3"/>
  <c r="H32" i="3"/>
  <c r="G31" i="3"/>
  <c r="G32" i="3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H7" i="4"/>
  <c r="G7" i="4"/>
  <c r="I6" i="4"/>
  <c r="H6" i="4"/>
  <c r="G6" i="4"/>
  <c r="I5" i="4"/>
  <c r="H5" i="4"/>
  <c r="G5" i="4"/>
  <c r="I4" i="4"/>
  <c r="H4" i="4"/>
  <c r="G4" i="4"/>
  <c r="O17" i="3"/>
  <c r="P17" i="3"/>
  <c r="Q17" i="3"/>
  <c r="R17" i="3"/>
  <c r="N17" i="3"/>
  <c r="T5" i="3"/>
  <c r="T6" i="3"/>
  <c r="T7" i="3"/>
  <c r="T8" i="3"/>
  <c r="T9" i="3"/>
  <c r="T10" i="3"/>
  <c r="T11" i="3"/>
  <c r="T12" i="3"/>
  <c r="T13" i="3"/>
  <c r="T14" i="3"/>
  <c r="T15" i="3"/>
  <c r="T16" i="3"/>
  <c r="T4" i="3"/>
  <c r="S5" i="3"/>
  <c r="S6" i="3"/>
  <c r="S7" i="3"/>
  <c r="S8" i="3"/>
  <c r="S9" i="3"/>
  <c r="S10" i="3"/>
  <c r="S11" i="3"/>
  <c r="S12" i="3"/>
  <c r="S13" i="3"/>
  <c r="S14" i="3"/>
  <c r="S15" i="3"/>
  <c r="S16" i="3"/>
  <c r="S4" i="3"/>
  <c r="I30" i="3"/>
  <c r="H30" i="3"/>
  <c r="G30" i="3"/>
  <c r="I29" i="3"/>
  <c r="H29" i="3"/>
  <c r="G29" i="3"/>
  <c r="I28" i="3"/>
  <c r="H28" i="3"/>
  <c r="G28" i="3"/>
  <c r="I27" i="3"/>
  <c r="H27" i="3"/>
  <c r="G27" i="3"/>
  <c r="I26" i="3"/>
  <c r="H26" i="3"/>
  <c r="G26" i="3"/>
  <c r="I25" i="3"/>
  <c r="H25" i="3"/>
  <c r="G25" i="3"/>
  <c r="I24" i="3"/>
  <c r="H24" i="3"/>
  <c r="G24" i="3"/>
  <c r="I23" i="3"/>
  <c r="H23" i="3"/>
  <c r="G23" i="3"/>
  <c r="I22" i="3"/>
  <c r="H22" i="3"/>
  <c r="G22" i="3"/>
  <c r="I21" i="3"/>
  <c r="H21" i="3"/>
  <c r="G21" i="3"/>
  <c r="I20" i="3"/>
  <c r="H20" i="3"/>
  <c r="G20" i="3"/>
  <c r="I19" i="3"/>
  <c r="H19" i="3"/>
  <c r="G19" i="3"/>
  <c r="I18" i="3"/>
  <c r="H18" i="3"/>
  <c r="G18" i="3"/>
  <c r="I17" i="3"/>
  <c r="H17" i="3"/>
  <c r="G17" i="3"/>
  <c r="I16" i="3"/>
  <c r="H16" i="3"/>
  <c r="G16" i="3"/>
  <c r="I15" i="3"/>
  <c r="H15" i="3"/>
  <c r="G15" i="3"/>
  <c r="I14" i="3"/>
  <c r="H14" i="3"/>
  <c r="G14" i="3"/>
  <c r="I13" i="3"/>
  <c r="H13" i="3"/>
  <c r="G13" i="3"/>
  <c r="I12" i="3"/>
  <c r="H12" i="3"/>
  <c r="G12" i="3"/>
  <c r="I11" i="3"/>
  <c r="H11" i="3"/>
  <c r="G11" i="3"/>
  <c r="I10" i="3"/>
  <c r="H10" i="3"/>
  <c r="G10" i="3"/>
  <c r="I9" i="3"/>
  <c r="H9" i="3"/>
  <c r="G9" i="3"/>
  <c r="I8" i="3"/>
  <c r="H8" i="3"/>
  <c r="G8" i="3"/>
  <c r="I7" i="3"/>
  <c r="H7" i="3"/>
  <c r="G7" i="3"/>
  <c r="I6" i="3"/>
  <c r="H6" i="3"/>
  <c r="G6" i="3"/>
  <c r="I5" i="3"/>
  <c r="H5" i="3"/>
  <c r="G5" i="3"/>
  <c r="I4" i="3"/>
  <c r="H4" i="3"/>
  <c r="G4" i="3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J5" i="2"/>
  <c r="J6" i="2"/>
  <c r="I5" i="2"/>
  <c r="I6" i="2"/>
  <c r="H5" i="2"/>
  <c r="H6" i="2"/>
  <c r="J4" i="2"/>
  <c r="H4" i="2"/>
  <c r="I4" i="2"/>
  <c r="T17" i="3" l="1"/>
  <c r="S17" i="3"/>
  <c r="S18" i="3" s="1"/>
</calcChain>
</file>

<file path=xl/sharedStrings.xml><?xml version="1.0" encoding="utf-8"?>
<sst xmlns="http://schemas.openxmlformats.org/spreadsheetml/2006/main" count="329" uniqueCount="93">
  <si>
    <t>코셔솔트</t>
    <phoneticPr fontId="1" type="noConversion"/>
  </si>
  <si>
    <t>후추</t>
    <phoneticPr fontId="1" type="noConversion"/>
  </si>
  <si>
    <t>고기</t>
    <phoneticPr fontId="1" type="noConversion"/>
  </si>
  <si>
    <t>엑스트라버진</t>
    <phoneticPr fontId="1" type="noConversion"/>
  </si>
  <si>
    <t>고수 찹</t>
    <phoneticPr fontId="1" type="noConversion"/>
  </si>
  <si>
    <t>오렌지제스트</t>
    <phoneticPr fontId="1" type="noConversion"/>
  </si>
  <si>
    <t>오렌지주스</t>
    <phoneticPr fontId="1" type="noConversion"/>
  </si>
  <si>
    <t>라임주스</t>
    <phoneticPr fontId="1" type="noConversion"/>
  </si>
  <si>
    <t>민트 찹</t>
    <phoneticPr fontId="1" type="noConversion"/>
  </si>
  <si>
    <t>마늘</t>
    <phoneticPr fontId="1" type="noConversion"/>
  </si>
  <si>
    <t>오레가노</t>
    <phoneticPr fontId="1" type="noConversion"/>
  </si>
  <si>
    <t>큐민</t>
    <phoneticPr fontId="1" type="noConversion"/>
  </si>
  <si>
    <t>3/4컵</t>
    <phoneticPr fontId="1" type="noConversion"/>
  </si>
  <si>
    <t>1컵</t>
    <phoneticPr fontId="1" type="noConversion"/>
  </si>
  <si>
    <t>1/2컵</t>
    <phoneticPr fontId="1" type="noConversion"/>
  </si>
  <si>
    <t>1/4컵</t>
    <phoneticPr fontId="1" type="noConversion"/>
  </si>
  <si>
    <t>8개</t>
    <phoneticPr fontId="1" type="noConversion"/>
  </si>
  <si>
    <t>1테이블스푼</t>
    <phoneticPr fontId="1" type="noConversion"/>
  </si>
  <si>
    <t>2티스푼</t>
    <phoneticPr fontId="1" type="noConversion"/>
  </si>
  <si>
    <t>소프트바게트</t>
    <phoneticPr fontId="1" type="noConversion"/>
  </si>
  <si>
    <t>머스타드</t>
    <phoneticPr fontId="1" type="noConversion"/>
  </si>
  <si>
    <t>딜피클</t>
    <phoneticPr fontId="1" type="noConversion"/>
  </si>
  <si>
    <t>생햄</t>
    <phoneticPr fontId="1" type="noConversion"/>
  </si>
  <si>
    <t>에멘탈치즈</t>
    <phoneticPr fontId="1" type="noConversion"/>
  </si>
  <si>
    <t>가염버터</t>
    <phoneticPr fontId="1" type="noConversion"/>
  </si>
  <si>
    <t>큐바노</t>
    <phoneticPr fontId="1" type="noConversion"/>
  </si>
  <si>
    <t>냉파스타</t>
    <phoneticPr fontId="1" type="noConversion"/>
  </si>
  <si>
    <t>올리브오일</t>
    <phoneticPr fontId="1" type="noConversion"/>
  </si>
  <si>
    <t>레몬즙</t>
    <phoneticPr fontId="1" type="noConversion"/>
  </si>
  <si>
    <t>발사믹식초</t>
    <phoneticPr fontId="1" type="noConversion"/>
  </si>
  <si>
    <t>화이트와인</t>
    <phoneticPr fontId="1" type="noConversion"/>
  </si>
  <si>
    <t>꿀</t>
    <phoneticPr fontId="1" type="noConversion"/>
  </si>
  <si>
    <t>카펠리니</t>
    <phoneticPr fontId="1" type="noConversion"/>
  </si>
  <si>
    <t>소스</t>
    <phoneticPr fontId="1" type="noConversion"/>
  </si>
  <si>
    <t>마리네이드토마토</t>
    <phoneticPr fontId="1" type="noConversion"/>
  </si>
  <si>
    <t>바질페스토</t>
    <phoneticPr fontId="1" type="noConversion"/>
  </si>
  <si>
    <t>부라타치즈</t>
    <phoneticPr fontId="1" type="noConversion"/>
  </si>
  <si>
    <t>고수</t>
    <phoneticPr fontId="1" type="noConversion"/>
  </si>
  <si>
    <t>민트</t>
    <phoneticPr fontId="1" type="noConversion"/>
  </si>
  <si>
    <t>소금</t>
    <phoneticPr fontId="1" type="noConversion"/>
  </si>
  <si>
    <t>코스트코</t>
    <phoneticPr fontId="1" type="noConversion"/>
  </si>
  <si>
    <t>냉동목살</t>
    <phoneticPr fontId="1" type="noConversion"/>
  </si>
  <si>
    <t>무게(g)</t>
    <phoneticPr fontId="1" type="noConversion"/>
  </si>
  <si>
    <t>부피(ml)</t>
    <phoneticPr fontId="1" type="noConversion"/>
  </si>
  <si>
    <t>1g/원</t>
    <phoneticPr fontId="1" type="noConversion"/>
  </si>
  <si>
    <t>1ml/원</t>
    <phoneticPr fontId="1" type="noConversion"/>
  </si>
  <si>
    <t>개수/원</t>
    <phoneticPr fontId="1" type="noConversion"/>
  </si>
  <si>
    <t>EVO</t>
    <phoneticPr fontId="1" type="noConversion"/>
  </si>
  <si>
    <t>화이트와인식초</t>
    <phoneticPr fontId="1" type="noConversion"/>
  </si>
  <si>
    <t>카펠리니면</t>
    <phoneticPr fontId="1" type="noConversion"/>
  </si>
  <si>
    <t>에멘탈치즈 블록</t>
    <phoneticPr fontId="1" type="noConversion"/>
  </si>
  <si>
    <t>건오레가노</t>
    <phoneticPr fontId="1" type="noConversion"/>
  </si>
  <si>
    <t>애플민트</t>
    <phoneticPr fontId="1" type="noConversion"/>
  </si>
  <si>
    <t>라임쥬스</t>
    <phoneticPr fontId="1" type="noConversion"/>
  </si>
  <si>
    <t>슬라이스 에멘탈</t>
    <phoneticPr fontId="1" type="noConversion"/>
  </si>
  <si>
    <t>레몬</t>
    <phoneticPr fontId="1" type="noConversion"/>
  </si>
  <si>
    <t>구매금액(원)</t>
    <phoneticPr fontId="1" type="noConversion"/>
  </si>
  <si>
    <t xml:space="preserve">오렌지 </t>
    <phoneticPr fontId="1" type="noConversion"/>
  </si>
  <si>
    <t xml:space="preserve">라임 </t>
    <phoneticPr fontId="1" type="noConversion"/>
  </si>
  <si>
    <t>낱개수</t>
    <phoneticPr fontId="1" type="noConversion"/>
  </si>
  <si>
    <t xml:space="preserve">화이트와인 </t>
    <phoneticPr fontId="1" type="noConversion"/>
  </si>
  <si>
    <t>구매처</t>
    <phoneticPr fontId="1" type="noConversion"/>
  </si>
  <si>
    <t>이마트</t>
    <phoneticPr fontId="1" type="noConversion"/>
  </si>
  <si>
    <t>쿠팡</t>
    <phoneticPr fontId="1" type="noConversion"/>
  </si>
  <si>
    <t>노브랜드</t>
    <phoneticPr fontId="1" type="noConversion"/>
  </si>
  <si>
    <t>그외</t>
    <phoneticPr fontId="1" type="noConversion"/>
  </si>
  <si>
    <t>라임1개분량</t>
    <phoneticPr fontId="1" type="noConversion"/>
  </si>
  <si>
    <t>오렌지1개분량</t>
    <phoneticPr fontId="1" type="noConversion"/>
  </si>
  <si>
    <t>부피 ml</t>
    <phoneticPr fontId="1" type="noConversion"/>
  </si>
  <si>
    <t>무게 g</t>
    <phoneticPr fontId="1" type="noConversion"/>
  </si>
  <si>
    <t>사용무게2784</t>
    <phoneticPr fontId="1" type="noConversion"/>
  </si>
  <si>
    <t>모호포크</t>
    <phoneticPr fontId="1" type="noConversion"/>
  </si>
  <si>
    <t>라임(제스트)</t>
    <phoneticPr fontId="1" type="noConversion"/>
  </si>
  <si>
    <t>오렌지(제스트)</t>
    <phoneticPr fontId="1" type="noConversion"/>
  </si>
  <si>
    <t>단위g/원</t>
    <phoneticPr fontId="1" type="noConversion"/>
  </si>
  <si>
    <t>단위ml/원</t>
    <phoneticPr fontId="1" type="noConversion"/>
  </si>
  <si>
    <t>g코스트</t>
    <phoneticPr fontId="1" type="noConversion"/>
  </si>
  <si>
    <t>ml코스트</t>
    <phoneticPr fontId="1" type="noConversion"/>
  </si>
  <si>
    <t>합계</t>
    <phoneticPr fontId="1" type="noConversion"/>
  </si>
  <si>
    <t>완성품</t>
    <phoneticPr fontId="1" type="noConversion"/>
  </si>
  <si>
    <t>200도 오븐 20분</t>
    <phoneticPr fontId="1" type="noConversion"/>
  </si>
  <si>
    <t>160도 오븐 중심부온도70도</t>
    <phoneticPr fontId="1" type="noConversion"/>
  </si>
  <si>
    <t>햄</t>
    <phoneticPr fontId="1" type="noConversion"/>
  </si>
  <si>
    <t>에멘탈치즈(슬)</t>
    <phoneticPr fontId="1" type="noConversion"/>
  </si>
  <si>
    <t>파스타소스</t>
    <phoneticPr fontId="1" type="noConversion"/>
  </si>
  <si>
    <t>발사믹</t>
    <phoneticPr fontId="1" type="noConversion"/>
  </si>
  <si>
    <t>양파</t>
    <phoneticPr fontId="1" type="noConversion"/>
  </si>
  <si>
    <t>화이트발사믹</t>
    <phoneticPr fontId="1" type="noConversion"/>
  </si>
  <si>
    <t>샐러드</t>
    <phoneticPr fontId="1" type="noConversion"/>
  </si>
  <si>
    <t>냉파스타 소스</t>
    <phoneticPr fontId="1" type="noConversion"/>
  </si>
  <si>
    <t>개수</t>
    <phoneticPr fontId="1" type="noConversion"/>
  </si>
  <si>
    <t xml:space="preserve">레몬 </t>
    <phoneticPr fontId="1" type="noConversion"/>
  </si>
  <si>
    <t>절반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</si>
</sst>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_);[Red]\(#,##0.0\)"/>
    <numFmt numFmtId="178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Fill="1" applyBorder="1">
      <alignment vertical="center"/>
    </xf>
    <xf numFmtId="0" fontId="2" fillId="0" borderId="0" xfId="0" applyFont="1" applyBorder="1" applyAlignme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7" fontId="0" fillId="0" borderId="0" xfId="0" applyNumberFormat="1" applyFill="1">
      <alignment vertical="center"/>
    </xf>
    <xf numFmtId="178" fontId="0" fillId="0" borderId="0" xfId="0" applyNumberFormat="1">
      <alignment vertical="center"/>
    </xf>
    <xf numFmtId="178" fontId="0" fillId="0" borderId="7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2" xfId="0" applyNumberForma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57B2-6F12-470D-8157-B40FE6563AA3}">
  <dimension ref="B1:L31"/>
  <sheetViews>
    <sheetView workbookViewId="0">
      <selection activeCell="I25" sqref="I25"/>
    </sheetView>
  </sheetViews>
  <sheetFormatPr defaultRowHeight="16.5" x14ac:dyDescent="0.3"/>
  <cols>
    <col min="2" max="2" width="13.625" customWidth="1"/>
    <col min="3" max="3" width="13.625" style="1" customWidth="1"/>
    <col min="4" max="7" width="13.625" customWidth="1"/>
    <col min="8" max="8" width="9" customWidth="1"/>
    <col min="10" max="10" width="15.625" customWidth="1"/>
  </cols>
  <sheetData>
    <row r="1" spans="2:12" x14ac:dyDescent="0.3">
      <c r="B1" s="4"/>
      <c r="C1" s="3"/>
      <c r="D1" s="4"/>
      <c r="E1" s="4"/>
    </row>
    <row r="2" spans="2:12" x14ac:dyDescent="0.3">
      <c r="B2" s="9" t="s">
        <v>25</v>
      </c>
      <c r="C2" s="9"/>
      <c r="D2" s="9"/>
      <c r="E2" s="9"/>
      <c r="G2" t="s">
        <v>71</v>
      </c>
      <c r="H2" t="s">
        <v>69</v>
      </c>
      <c r="I2" t="s">
        <v>68</v>
      </c>
      <c r="J2" t="s">
        <v>65</v>
      </c>
      <c r="K2" t="s">
        <v>74</v>
      </c>
      <c r="L2" t="s">
        <v>75</v>
      </c>
    </row>
    <row r="3" spans="2:12" x14ac:dyDescent="0.3">
      <c r="B3" s="4" t="s">
        <v>2</v>
      </c>
      <c r="C3" s="3">
        <v>1.6</v>
      </c>
      <c r="D3" s="4"/>
      <c r="E3" s="4" t="s">
        <v>19</v>
      </c>
      <c r="G3" t="s">
        <v>2</v>
      </c>
      <c r="H3">
        <v>3784</v>
      </c>
      <c r="J3" t="s">
        <v>70</v>
      </c>
    </row>
    <row r="4" spans="2:12" x14ac:dyDescent="0.3">
      <c r="B4" s="4" t="s">
        <v>3</v>
      </c>
      <c r="C4" s="3" t="s">
        <v>12</v>
      </c>
      <c r="D4" s="4"/>
      <c r="E4" s="4" t="s">
        <v>20</v>
      </c>
      <c r="G4" t="s">
        <v>37</v>
      </c>
      <c r="H4">
        <v>300</v>
      </c>
    </row>
    <row r="5" spans="2:12" x14ac:dyDescent="0.3">
      <c r="B5" s="4" t="s">
        <v>4</v>
      </c>
      <c r="C5" s="3" t="s">
        <v>13</v>
      </c>
      <c r="D5" s="4"/>
      <c r="E5" s="4" t="s">
        <v>21</v>
      </c>
      <c r="G5" t="s">
        <v>38</v>
      </c>
      <c r="H5">
        <v>48</v>
      </c>
    </row>
    <row r="6" spans="2:12" x14ac:dyDescent="0.3">
      <c r="B6" s="4" t="s">
        <v>5</v>
      </c>
      <c r="C6" s="3" t="s">
        <v>17</v>
      </c>
      <c r="D6" s="4"/>
      <c r="E6" s="4" t="s">
        <v>22</v>
      </c>
      <c r="G6" t="s">
        <v>73</v>
      </c>
      <c r="H6">
        <v>212.4</v>
      </c>
      <c r="J6" t="s">
        <v>67</v>
      </c>
    </row>
    <row r="7" spans="2:12" x14ac:dyDescent="0.3">
      <c r="B7" s="4" t="s">
        <v>6</v>
      </c>
      <c r="C7" s="3" t="s">
        <v>12</v>
      </c>
      <c r="D7" s="4"/>
      <c r="E7" s="4" t="s">
        <v>2</v>
      </c>
      <c r="G7" t="s">
        <v>6</v>
      </c>
      <c r="I7">
        <v>450</v>
      </c>
    </row>
    <row r="8" spans="2:12" x14ac:dyDescent="0.3">
      <c r="B8" s="4" t="s">
        <v>7</v>
      </c>
      <c r="C8" s="3" t="s">
        <v>14</v>
      </c>
      <c r="D8" s="4"/>
      <c r="E8" s="4" t="s">
        <v>23</v>
      </c>
      <c r="G8" t="s">
        <v>72</v>
      </c>
      <c r="H8">
        <v>69.599999999999994</v>
      </c>
      <c r="J8" t="s">
        <v>66</v>
      </c>
    </row>
    <row r="9" spans="2:12" x14ac:dyDescent="0.3">
      <c r="B9" s="4" t="s">
        <v>8</v>
      </c>
      <c r="C9" s="3" t="s">
        <v>15</v>
      </c>
      <c r="D9" s="4"/>
      <c r="E9" s="4" t="s">
        <v>24</v>
      </c>
      <c r="G9" t="s">
        <v>7</v>
      </c>
      <c r="I9">
        <v>300</v>
      </c>
    </row>
    <row r="10" spans="2:12" x14ac:dyDescent="0.3">
      <c r="B10" s="4" t="s">
        <v>9</v>
      </c>
      <c r="C10" s="3" t="s">
        <v>16</v>
      </c>
      <c r="D10" s="4"/>
      <c r="E10" s="4"/>
      <c r="G10" t="s">
        <v>3</v>
      </c>
      <c r="I10">
        <v>450</v>
      </c>
    </row>
    <row r="11" spans="2:12" x14ac:dyDescent="0.3">
      <c r="B11" s="4" t="s">
        <v>10</v>
      </c>
      <c r="C11" s="3" t="s">
        <v>17</v>
      </c>
      <c r="D11" s="4"/>
      <c r="E11" s="4"/>
      <c r="G11" t="s">
        <v>9</v>
      </c>
      <c r="H11">
        <v>116</v>
      </c>
    </row>
    <row r="12" spans="2:12" x14ac:dyDescent="0.3">
      <c r="B12" s="4" t="s">
        <v>11</v>
      </c>
      <c r="C12" s="3" t="s">
        <v>18</v>
      </c>
      <c r="D12" s="4"/>
      <c r="E12" s="4"/>
      <c r="G12" t="s">
        <v>11</v>
      </c>
      <c r="H12">
        <v>4</v>
      </c>
    </row>
    <row r="13" spans="2:12" x14ac:dyDescent="0.3">
      <c r="B13" s="4" t="s">
        <v>0</v>
      </c>
      <c r="C13" s="3"/>
      <c r="D13" s="4"/>
      <c r="E13" s="4"/>
      <c r="G13" t="s">
        <v>10</v>
      </c>
      <c r="H13">
        <v>10</v>
      </c>
    </row>
    <row r="14" spans="2:12" x14ac:dyDescent="0.3">
      <c r="B14" s="4" t="s">
        <v>1</v>
      </c>
      <c r="C14" s="3"/>
      <c r="D14" s="4"/>
      <c r="E14" s="4"/>
      <c r="G14" t="s">
        <v>39</v>
      </c>
      <c r="H14">
        <v>30</v>
      </c>
    </row>
    <row r="15" spans="2:12" x14ac:dyDescent="0.3">
      <c r="B15" s="8" t="s">
        <v>80</v>
      </c>
      <c r="C15" s="3"/>
      <c r="D15" s="4"/>
      <c r="E15" s="4"/>
      <c r="G15" t="s">
        <v>1</v>
      </c>
      <c r="H15">
        <v>7</v>
      </c>
    </row>
    <row r="16" spans="2:12" x14ac:dyDescent="0.3">
      <c r="B16" s="8" t="s">
        <v>81</v>
      </c>
      <c r="C16" s="3"/>
      <c r="D16" s="4"/>
      <c r="E16" s="4"/>
    </row>
    <row r="17" spans="2:5" x14ac:dyDescent="0.3">
      <c r="B17" s="4"/>
      <c r="C17" s="3"/>
      <c r="D17" s="4"/>
      <c r="E17" s="4"/>
    </row>
    <row r="18" spans="2:5" x14ac:dyDescent="0.3">
      <c r="B18" s="4"/>
      <c r="C18" s="3"/>
      <c r="D18" s="4"/>
      <c r="E18" s="4"/>
    </row>
    <row r="19" spans="2:5" x14ac:dyDescent="0.3">
      <c r="B19" s="9" t="s">
        <v>26</v>
      </c>
      <c r="C19" s="9"/>
      <c r="D19" s="9"/>
      <c r="E19" s="9"/>
    </row>
    <row r="20" spans="2:5" x14ac:dyDescent="0.3">
      <c r="B20" s="4" t="s">
        <v>27</v>
      </c>
      <c r="C20" s="3">
        <v>1</v>
      </c>
      <c r="D20" s="4" t="s">
        <v>32</v>
      </c>
      <c r="E20" s="4"/>
    </row>
    <row r="21" spans="2:5" x14ac:dyDescent="0.3">
      <c r="B21" s="4" t="s">
        <v>28</v>
      </c>
      <c r="C21" s="3">
        <v>1</v>
      </c>
      <c r="D21" s="4" t="s">
        <v>33</v>
      </c>
      <c r="E21" s="4"/>
    </row>
    <row r="22" spans="2:5" x14ac:dyDescent="0.3">
      <c r="B22" s="4" t="s">
        <v>29</v>
      </c>
      <c r="C22" s="3">
        <v>1</v>
      </c>
      <c r="D22" s="4" t="s">
        <v>34</v>
      </c>
      <c r="E22" s="4"/>
    </row>
    <row r="23" spans="2:5" x14ac:dyDescent="0.3">
      <c r="B23" s="4" t="s">
        <v>30</v>
      </c>
      <c r="C23" s="3">
        <v>1</v>
      </c>
      <c r="D23" s="8" t="s">
        <v>35</v>
      </c>
      <c r="E23" s="4"/>
    </row>
    <row r="24" spans="2:5" x14ac:dyDescent="0.3">
      <c r="B24" s="4" t="s">
        <v>31</v>
      </c>
      <c r="C24" s="3">
        <v>1</v>
      </c>
      <c r="D24" s="8" t="s">
        <v>36</v>
      </c>
      <c r="E24" s="4"/>
    </row>
    <row r="25" spans="2:5" x14ac:dyDescent="0.3">
      <c r="B25" s="4"/>
      <c r="C25" s="3"/>
      <c r="D25" s="4"/>
      <c r="E25" s="4"/>
    </row>
    <row r="26" spans="2:5" x14ac:dyDescent="0.3">
      <c r="B26" s="4"/>
      <c r="C26" s="3"/>
      <c r="D26" s="4"/>
      <c r="E26" s="4"/>
    </row>
    <row r="27" spans="2:5" x14ac:dyDescent="0.3">
      <c r="B27" s="4"/>
      <c r="C27" s="3"/>
      <c r="D27" s="4"/>
      <c r="E27" s="4"/>
    </row>
    <row r="28" spans="2:5" x14ac:dyDescent="0.3">
      <c r="B28" s="4"/>
      <c r="C28" s="3"/>
      <c r="D28" s="4"/>
      <c r="E28" s="4"/>
    </row>
    <row r="29" spans="2:5" x14ac:dyDescent="0.3">
      <c r="B29" s="4"/>
      <c r="C29" s="3"/>
      <c r="D29" s="4"/>
      <c r="E29" s="4"/>
    </row>
    <row r="30" spans="2:5" x14ac:dyDescent="0.3">
      <c r="B30" s="4"/>
      <c r="C30" s="3"/>
      <c r="D30" s="4"/>
      <c r="E30" s="4"/>
    </row>
    <row r="31" spans="2:5" x14ac:dyDescent="0.3">
      <c r="B31" s="4"/>
      <c r="C31" s="3"/>
      <c r="D31" s="4"/>
      <c r="E31" s="4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DF18-959A-484F-9E5C-D122BFF99597}">
  <dimension ref="B3:J33"/>
  <sheetViews>
    <sheetView workbookViewId="0">
      <selection activeCell="D33" sqref="D33"/>
    </sheetView>
  </sheetViews>
  <sheetFormatPr defaultRowHeight="16.5" x14ac:dyDescent="0.3"/>
  <cols>
    <col min="1" max="2" width="9" style="10"/>
    <col min="3" max="3" width="20.5" style="10" customWidth="1"/>
    <col min="4" max="6" width="9" style="10"/>
    <col min="7" max="7" width="11.875" style="10" customWidth="1"/>
    <col min="8" max="10" width="9" style="11"/>
    <col min="11" max="16384" width="9" style="10"/>
  </cols>
  <sheetData>
    <row r="3" spans="2:10" x14ac:dyDescent="0.3">
      <c r="B3" s="10" t="s">
        <v>61</v>
      </c>
      <c r="D3" s="10" t="s">
        <v>42</v>
      </c>
      <c r="E3" s="10" t="s">
        <v>43</v>
      </c>
      <c r="F3" s="10" t="s">
        <v>59</v>
      </c>
      <c r="G3" s="10" t="s">
        <v>56</v>
      </c>
      <c r="H3" s="11" t="s">
        <v>44</v>
      </c>
      <c r="I3" s="11" t="s">
        <v>45</v>
      </c>
      <c r="J3" s="11" t="s">
        <v>46</v>
      </c>
    </row>
    <row r="4" spans="2:10" x14ac:dyDescent="0.3">
      <c r="B4" s="10" t="s">
        <v>40</v>
      </c>
      <c r="C4" s="10" t="s">
        <v>41</v>
      </c>
      <c r="D4" s="10">
        <v>2784</v>
      </c>
      <c r="E4" s="10">
        <v>0</v>
      </c>
      <c r="F4" s="10">
        <v>1</v>
      </c>
      <c r="G4" s="10">
        <v>29204</v>
      </c>
      <c r="H4" s="11">
        <f>IF(D4,G4/D4,0)</f>
        <v>10.489942528735632</v>
      </c>
      <c r="I4" s="11">
        <f>IF(E4,G4/E4,0)</f>
        <v>0</v>
      </c>
      <c r="J4" s="11">
        <f>IF(F4,G4/F4,0)</f>
        <v>29204</v>
      </c>
    </row>
    <row r="5" spans="2:10" x14ac:dyDescent="0.3">
      <c r="B5" s="10" t="s">
        <v>62</v>
      </c>
      <c r="C5" s="10" t="s">
        <v>47</v>
      </c>
      <c r="D5" s="10">
        <v>0</v>
      </c>
      <c r="E5" s="10">
        <v>500</v>
      </c>
      <c r="F5" s="10">
        <v>1</v>
      </c>
      <c r="G5" s="10">
        <v>8030</v>
      </c>
      <c r="H5" s="11">
        <f t="shared" ref="H5:H30" si="0">IF(D5,G5/D5,0)</f>
        <v>0</v>
      </c>
      <c r="I5" s="11">
        <f t="shared" ref="I5:I30" si="1">IF(E5,G5/E5,0)</f>
        <v>16.059999999999999</v>
      </c>
      <c r="J5" s="11">
        <f t="shared" ref="J5:J30" si="2">IF(F5,G5/F5,0)</f>
        <v>8030</v>
      </c>
    </row>
    <row r="6" spans="2:10" x14ac:dyDescent="0.3">
      <c r="B6" s="10" t="s">
        <v>63</v>
      </c>
      <c r="C6" s="10" t="s">
        <v>48</v>
      </c>
      <c r="D6" s="10">
        <v>0</v>
      </c>
      <c r="E6" s="10">
        <v>500</v>
      </c>
      <c r="F6" s="10">
        <v>1</v>
      </c>
      <c r="G6" s="10">
        <v>6420</v>
      </c>
      <c r="H6" s="11">
        <f t="shared" si="0"/>
        <v>0</v>
      </c>
      <c r="I6" s="11">
        <f t="shared" si="1"/>
        <v>12.84</v>
      </c>
      <c r="J6" s="11">
        <f t="shared" si="2"/>
        <v>6420</v>
      </c>
    </row>
    <row r="7" spans="2:10" x14ac:dyDescent="0.3">
      <c r="B7" s="10" t="s">
        <v>63</v>
      </c>
      <c r="C7" s="10" t="s">
        <v>49</v>
      </c>
      <c r="D7" s="10">
        <v>500</v>
      </c>
      <c r="E7" s="10">
        <v>0</v>
      </c>
      <c r="F7" s="10">
        <v>1</v>
      </c>
      <c r="G7" s="10">
        <v>3650</v>
      </c>
      <c r="H7" s="11">
        <f t="shared" si="0"/>
        <v>7.3</v>
      </c>
      <c r="I7" s="11">
        <f t="shared" si="1"/>
        <v>0</v>
      </c>
      <c r="J7" s="11">
        <f t="shared" si="2"/>
        <v>3650</v>
      </c>
    </row>
    <row r="8" spans="2:10" x14ac:dyDescent="0.3">
      <c r="B8" s="10" t="s">
        <v>64</v>
      </c>
      <c r="C8" s="10" t="s">
        <v>6</v>
      </c>
      <c r="D8" s="10">
        <v>0</v>
      </c>
      <c r="E8" s="10">
        <v>1000</v>
      </c>
      <c r="F8" s="10">
        <v>1</v>
      </c>
      <c r="G8" s="10">
        <v>2880</v>
      </c>
      <c r="H8" s="11">
        <f t="shared" si="0"/>
        <v>0</v>
      </c>
      <c r="I8" s="11">
        <f t="shared" si="1"/>
        <v>2.88</v>
      </c>
      <c r="J8" s="11">
        <f t="shared" si="2"/>
        <v>2880</v>
      </c>
    </row>
    <row r="9" spans="2:10" x14ac:dyDescent="0.3">
      <c r="B9" s="10" t="s">
        <v>62</v>
      </c>
      <c r="C9" s="10" t="s">
        <v>50</v>
      </c>
      <c r="D9" s="10">
        <v>200</v>
      </c>
      <c r="E9" s="10">
        <v>0</v>
      </c>
      <c r="F9" s="10">
        <v>1</v>
      </c>
      <c r="G9" s="10">
        <v>6400</v>
      </c>
      <c r="H9" s="11">
        <f t="shared" si="0"/>
        <v>32</v>
      </c>
      <c r="I9" s="11">
        <f t="shared" si="1"/>
        <v>0</v>
      </c>
      <c r="J9" s="11">
        <f t="shared" si="2"/>
        <v>6400</v>
      </c>
    </row>
    <row r="10" spans="2:10" x14ac:dyDescent="0.3">
      <c r="B10" s="10" t="s">
        <v>62</v>
      </c>
      <c r="C10" s="10" t="s">
        <v>9</v>
      </c>
      <c r="D10" s="10">
        <v>300</v>
      </c>
      <c r="E10" s="10">
        <v>0</v>
      </c>
      <c r="F10" s="10">
        <v>1</v>
      </c>
      <c r="G10" s="10">
        <v>4480</v>
      </c>
      <c r="H10" s="11">
        <f t="shared" si="0"/>
        <v>14.933333333333334</v>
      </c>
      <c r="I10" s="11">
        <f t="shared" si="1"/>
        <v>0</v>
      </c>
      <c r="J10" s="11">
        <f t="shared" si="2"/>
        <v>4480</v>
      </c>
    </row>
    <row r="11" spans="2:10" x14ac:dyDescent="0.3">
      <c r="B11" s="10" t="s">
        <v>62</v>
      </c>
      <c r="C11" s="10" t="s">
        <v>51</v>
      </c>
      <c r="D11" s="10">
        <v>12</v>
      </c>
      <c r="E11" s="10">
        <v>0</v>
      </c>
      <c r="F11" s="10">
        <v>1</v>
      </c>
      <c r="G11" s="10">
        <v>3360</v>
      </c>
      <c r="H11" s="11">
        <f t="shared" si="0"/>
        <v>280</v>
      </c>
      <c r="I11" s="11">
        <f t="shared" si="1"/>
        <v>0</v>
      </c>
      <c r="J11" s="11">
        <f t="shared" si="2"/>
        <v>3360</v>
      </c>
    </row>
    <row r="12" spans="2:10" x14ac:dyDescent="0.3">
      <c r="B12" s="10" t="s">
        <v>62</v>
      </c>
      <c r="C12" s="10" t="s">
        <v>35</v>
      </c>
      <c r="D12" s="10">
        <v>190</v>
      </c>
      <c r="E12" s="10">
        <v>0</v>
      </c>
      <c r="F12" s="10">
        <v>0</v>
      </c>
      <c r="G12" s="10">
        <v>4980</v>
      </c>
      <c r="H12" s="11">
        <f t="shared" si="0"/>
        <v>26.210526315789473</v>
      </c>
      <c r="I12" s="11">
        <f t="shared" si="1"/>
        <v>0</v>
      </c>
      <c r="J12" s="11">
        <f t="shared" si="2"/>
        <v>0</v>
      </c>
    </row>
    <row r="13" spans="2:10" x14ac:dyDescent="0.3">
      <c r="B13" s="10" t="s">
        <v>62</v>
      </c>
      <c r="C13" s="10" t="s">
        <v>36</v>
      </c>
      <c r="D13" s="10">
        <v>226</v>
      </c>
      <c r="E13" s="10">
        <v>0</v>
      </c>
      <c r="F13" s="10">
        <v>4</v>
      </c>
      <c r="G13" s="10">
        <v>15880</v>
      </c>
      <c r="H13" s="11">
        <f t="shared" si="0"/>
        <v>70.26548672566372</v>
      </c>
      <c r="I13" s="11">
        <f t="shared" si="1"/>
        <v>0</v>
      </c>
      <c r="J13" s="11">
        <f t="shared" si="2"/>
        <v>3970</v>
      </c>
    </row>
    <row r="14" spans="2:10" x14ac:dyDescent="0.3">
      <c r="B14" s="10" t="s">
        <v>62</v>
      </c>
      <c r="C14" s="10" t="s">
        <v>37</v>
      </c>
      <c r="D14" s="10">
        <v>400</v>
      </c>
      <c r="E14" s="10">
        <v>0</v>
      </c>
      <c r="F14" s="10">
        <v>4</v>
      </c>
      <c r="G14" s="10">
        <v>15200</v>
      </c>
      <c r="H14" s="11">
        <f t="shared" si="0"/>
        <v>38</v>
      </c>
      <c r="I14" s="11">
        <f t="shared" si="1"/>
        <v>0</v>
      </c>
      <c r="J14" s="11">
        <f t="shared" si="2"/>
        <v>3800</v>
      </c>
    </row>
    <row r="15" spans="2:10" x14ac:dyDescent="0.3">
      <c r="B15" s="10" t="s">
        <v>62</v>
      </c>
      <c r="C15" s="10" t="s">
        <v>52</v>
      </c>
      <c r="D15" s="10">
        <v>48</v>
      </c>
      <c r="E15" s="10">
        <v>0</v>
      </c>
      <c r="F15" s="10">
        <v>4</v>
      </c>
      <c r="G15" s="10">
        <v>7120</v>
      </c>
      <c r="H15" s="11">
        <f t="shared" si="0"/>
        <v>148.33333333333334</v>
      </c>
      <c r="I15" s="11">
        <f t="shared" si="1"/>
        <v>0</v>
      </c>
      <c r="J15" s="11">
        <f t="shared" si="2"/>
        <v>1780</v>
      </c>
    </row>
    <row r="16" spans="2:10" x14ac:dyDescent="0.3">
      <c r="B16" s="10" t="s">
        <v>62</v>
      </c>
      <c r="C16" s="10" t="s">
        <v>0</v>
      </c>
      <c r="D16" s="10">
        <v>300</v>
      </c>
      <c r="E16" s="10">
        <v>0</v>
      </c>
      <c r="F16" s="10">
        <v>1</v>
      </c>
      <c r="G16" s="10">
        <v>9900</v>
      </c>
      <c r="H16" s="11">
        <f t="shared" si="0"/>
        <v>33</v>
      </c>
      <c r="I16" s="11">
        <f t="shared" si="1"/>
        <v>0</v>
      </c>
      <c r="J16" s="11">
        <f t="shared" si="2"/>
        <v>9900</v>
      </c>
    </row>
    <row r="17" spans="2:10" x14ac:dyDescent="0.3">
      <c r="B17" s="10" t="s">
        <v>62</v>
      </c>
      <c r="C17" s="10" t="s">
        <v>53</v>
      </c>
      <c r="D17" s="10">
        <v>200</v>
      </c>
      <c r="E17" s="10">
        <v>0</v>
      </c>
      <c r="F17" s="10">
        <v>1</v>
      </c>
      <c r="G17" s="10">
        <v>2570</v>
      </c>
      <c r="H17" s="11">
        <f t="shared" si="0"/>
        <v>12.85</v>
      </c>
      <c r="I17" s="11">
        <f t="shared" si="1"/>
        <v>0</v>
      </c>
      <c r="J17" s="11">
        <f t="shared" si="2"/>
        <v>2570</v>
      </c>
    </row>
    <row r="18" spans="2:10" x14ac:dyDescent="0.3">
      <c r="B18" s="10" t="s">
        <v>62</v>
      </c>
      <c r="C18" s="10" t="s">
        <v>57</v>
      </c>
      <c r="D18" s="10">
        <v>2210</v>
      </c>
      <c r="E18" s="10">
        <v>0</v>
      </c>
      <c r="F18" s="10">
        <v>11</v>
      </c>
      <c r="G18" s="10">
        <v>8980</v>
      </c>
      <c r="H18" s="11">
        <f t="shared" si="0"/>
        <v>4.0633484162895925</v>
      </c>
      <c r="I18" s="11">
        <f t="shared" si="1"/>
        <v>0</v>
      </c>
      <c r="J18" s="11">
        <f t="shared" si="2"/>
        <v>816.36363636363637</v>
      </c>
    </row>
    <row r="19" spans="2:10" x14ac:dyDescent="0.3">
      <c r="B19" s="10" t="s">
        <v>62</v>
      </c>
      <c r="C19" s="10" t="s">
        <v>58</v>
      </c>
      <c r="D19" s="10">
        <v>205</v>
      </c>
      <c r="E19" s="10">
        <v>0</v>
      </c>
      <c r="F19" s="10">
        <v>3</v>
      </c>
      <c r="G19" s="10">
        <v>5940</v>
      </c>
      <c r="H19" s="11">
        <f t="shared" si="0"/>
        <v>28.975609756097562</v>
      </c>
      <c r="I19" s="11">
        <f t="shared" si="1"/>
        <v>0</v>
      </c>
      <c r="J19" s="11">
        <f t="shared" si="2"/>
        <v>1980</v>
      </c>
    </row>
    <row r="20" spans="2:10" x14ac:dyDescent="0.3">
      <c r="B20" s="10" t="s">
        <v>62</v>
      </c>
      <c r="C20" s="10" t="s">
        <v>54</v>
      </c>
      <c r="D20" s="10">
        <v>200</v>
      </c>
      <c r="E20" s="10">
        <v>0</v>
      </c>
      <c r="G20" s="10">
        <v>6000</v>
      </c>
      <c r="H20" s="11">
        <f t="shared" si="0"/>
        <v>30</v>
      </c>
      <c r="I20" s="11">
        <f t="shared" si="1"/>
        <v>0</v>
      </c>
      <c r="J20" s="11">
        <f t="shared" si="2"/>
        <v>0</v>
      </c>
    </row>
    <row r="21" spans="2:10" x14ac:dyDescent="0.3">
      <c r="B21" s="10" t="s">
        <v>62</v>
      </c>
      <c r="C21" s="10" t="s">
        <v>55</v>
      </c>
      <c r="D21" s="10">
        <v>472</v>
      </c>
      <c r="E21" s="10">
        <v>0</v>
      </c>
      <c r="F21" s="10">
        <v>2</v>
      </c>
      <c r="G21" s="10">
        <v>2940</v>
      </c>
      <c r="H21" s="11">
        <f t="shared" si="0"/>
        <v>6.2288135593220337</v>
      </c>
      <c r="I21" s="11">
        <f t="shared" si="1"/>
        <v>0</v>
      </c>
      <c r="J21" s="11">
        <f t="shared" si="2"/>
        <v>1470</v>
      </c>
    </row>
    <row r="22" spans="2:10" x14ac:dyDescent="0.3">
      <c r="B22" s="10" t="s">
        <v>62</v>
      </c>
      <c r="C22" s="10" t="s">
        <v>60</v>
      </c>
      <c r="D22" s="10">
        <v>0</v>
      </c>
      <c r="E22" s="10">
        <v>750</v>
      </c>
      <c r="F22" s="10">
        <v>1</v>
      </c>
      <c r="G22" s="10">
        <v>13990</v>
      </c>
      <c r="H22" s="11">
        <f t="shared" si="0"/>
        <v>0</v>
      </c>
      <c r="I22" s="11">
        <f t="shared" si="1"/>
        <v>18.653333333333332</v>
      </c>
      <c r="J22" s="11">
        <f t="shared" si="2"/>
        <v>13990</v>
      </c>
    </row>
    <row r="23" spans="2:10" x14ac:dyDescent="0.3">
      <c r="B23" s="10" t="s">
        <v>40</v>
      </c>
      <c r="C23" s="10" t="s">
        <v>20</v>
      </c>
      <c r="D23" s="10">
        <v>1700</v>
      </c>
      <c r="E23" s="10">
        <v>0</v>
      </c>
      <c r="F23" s="10">
        <v>2</v>
      </c>
      <c r="G23" s="10">
        <v>7890</v>
      </c>
      <c r="H23" s="11">
        <f t="shared" si="0"/>
        <v>4.6411764705882357</v>
      </c>
      <c r="I23" s="11">
        <f t="shared" si="1"/>
        <v>0</v>
      </c>
      <c r="J23" s="11">
        <f t="shared" si="2"/>
        <v>3945</v>
      </c>
    </row>
    <row r="24" spans="2:10" x14ac:dyDescent="0.3">
      <c r="B24" s="10" t="s">
        <v>62</v>
      </c>
      <c r="C24" s="10" t="s">
        <v>11</v>
      </c>
      <c r="D24" s="10">
        <v>55</v>
      </c>
      <c r="E24" s="10">
        <v>0</v>
      </c>
      <c r="F24" s="10">
        <v>1</v>
      </c>
      <c r="G24" s="10">
        <v>4180</v>
      </c>
      <c r="H24" s="11">
        <f t="shared" si="0"/>
        <v>76</v>
      </c>
      <c r="I24" s="11">
        <f t="shared" si="1"/>
        <v>0</v>
      </c>
      <c r="J24" s="11">
        <f t="shared" si="2"/>
        <v>4180</v>
      </c>
    </row>
    <row r="25" spans="2:10" x14ac:dyDescent="0.3">
      <c r="B25" s="10" t="s">
        <v>62</v>
      </c>
      <c r="C25" s="10" t="s">
        <v>31</v>
      </c>
      <c r="D25" s="10">
        <v>1200</v>
      </c>
      <c r="E25" s="10">
        <v>0</v>
      </c>
      <c r="F25" s="10">
        <v>2</v>
      </c>
      <c r="G25" s="10">
        <v>13400</v>
      </c>
      <c r="H25" s="11">
        <f t="shared" si="0"/>
        <v>11.166666666666666</v>
      </c>
      <c r="I25" s="11">
        <f t="shared" si="1"/>
        <v>0</v>
      </c>
      <c r="J25" s="11">
        <f t="shared" si="2"/>
        <v>6700</v>
      </c>
    </row>
    <row r="26" spans="2:10" x14ac:dyDescent="0.3">
      <c r="B26" s="10" t="s">
        <v>63</v>
      </c>
      <c r="C26" s="10" t="s">
        <v>19</v>
      </c>
      <c r="D26" s="10">
        <v>500</v>
      </c>
      <c r="E26" s="10">
        <v>0</v>
      </c>
      <c r="F26" s="10">
        <v>5</v>
      </c>
      <c r="G26" s="10">
        <v>5800</v>
      </c>
      <c r="H26" s="11">
        <f t="shared" si="0"/>
        <v>11.6</v>
      </c>
      <c r="I26" s="11">
        <f t="shared" si="1"/>
        <v>0</v>
      </c>
      <c r="J26" s="11">
        <f t="shared" si="2"/>
        <v>1160</v>
      </c>
    </row>
    <row r="27" spans="2:10" x14ac:dyDescent="0.3">
      <c r="B27" s="10" t="s">
        <v>63</v>
      </c>
      <c r="C27" s="10" t="s">
        <v>21</v>
      </c>
      <c r="D27" s="10">
        <v>0</v>
      </c>
      <c r="E27" s="10">
        <v>2000</v>
      </c>
      <c r="F27" s="10">
        <v>2</v>
      </c>
      <c r="G27" s="10">
        <v>12950</v>
      </c>
      <c r="H27" s="11">
        <f t="shared" si="0"/>
        <v>0</v>
      </c>
      <c r="I27" s="11">
        <f t="shared" si="1"/>
        <v>6.4749999999999996</v>
      </c>
      <c r="J27" s="11">
        <f t="shared" si="2"/>
        <v>6475</v>
      </c>
    </row>
    <row r="28" spans="2:10" x14ac:dyDescent="0.3">
      <c r="B28" s="10" t="s">
        <v>40</v>
      </c>
      <c r="C28" s="10" t="s">
        <v>22</v>
      </c>
      <c r="D28" s="10">
        <v>1360</v>
      </c>
      <c r="E28" s="10">
        <v>0</v>
      </c>
      <c r="F28" s="10">
        <v>2</v>
      </c>
      <c r="G28" s="10">
        <v>20490</v>
      </c>
      <c r="H28" s="11">
        <f t="shared" si="0"/>
        <v>15.066176470588236</v>
      </c>
      <c r="I28" s="11">
        <f t="shared" si="1"/>
        <v>0</v>
      </c>
      <c r="J28" s="11">
        <f t="shared" si="2"/>
        <v>10245</v>
      </c>
    </row>
    <row r="29" spans="2:10" x14ac:dyDescent="0.3">
      <c r="C29" s="10" t="s">
        <v>24</v>
      </c>
      <c r="H29" s="11">
        <f t="shared" si="0"/>
        <v>0</v>
      </c>
      <c r="I29" s="11">
        <f t="shared" si="1"/>
        <v>0</v>
      </c>
      <c r="J29" s="11">
        <f t="shared" si="2"/>
        <v>0</v>
      </c>
    </row>
    <row r="30" spans="2:10" x14ac:dyDescent="0.3">
      <c r="B30" s="10" t="s">
        <v>63</v>
      </c>
      <c r="C30" s="10" t="s">
        <v>34</v>
      </c>
      <c r="F30" s="10">
        <v>1</v>
      </c>
      <c r="G30" s="10">
        <v>16400</v>
      </c>
      <c r="H30" s="11">
        <f t="shared" si="0"/>
        <v>0</v>
      </c>
      <c r="I30" s="11">
        <f t="shared" si="1"/>
        <v>0</v>
      </c>
      <c r="J30" s="11">
        <f t="shared" si="2"/>
        <v>16400</v>
      </c>
    </row>
    <row r="32" spans="2:10" x14ac:dyDescent="0.3">
      <c r="B32" s="10" t="s">
        <v>79</v>
      </c>
      <c r="C32" s="10" t="s">
        <v>71</v>
      </c>
      <c r="D32">
        <v>2616.9</v>
      </c>
      <c r="E32"/>
      <c r="F32"/>
      <c r="G32" s="10">
        <v>75572</v>
      </c>
      <c r="H32" s="15">
        <f t="shared" ref="H32" si="3">IF(D32,G32/D32,0)</f>
        <v>28.878443960411172</v>
      </c>
      <c r="I32" s="15">
        <f t="shared" ref="I32" si="4">IF(E32,G32/E32,0)</f>
        <v>0</v>
      </c>
      <c r="J32" s="15">
        <f t="shared" ref="J32" si="5">IF(F32,G32/F32,0)</f>
        <v>0</v>
      </c>
    </row>
    <row r="33" spans="2:3" x14ac:dyDescent="0.3">
      <c r="B33" s="10" t="s">
        <v>79</v>
      </c>
      <c r="C33" s="10" t="s">
        <v>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FF11-3CA1-4870-9436-509A33E73409}">
  <sheetPr>
    <pageSetUpPr fitToPage="1"/>
  </sheetPr>
  <dimension ref="A2:T32"/>
  <sheetViews>
    <sheetView tabSelected="1" workbookViewId="0">
      <selection activeCell="R31" sqref="R31"/>
    </sheetView>
  </sheetViews>
  <sheetFormatPr defaultRowHeight="16.5" x14ac:dyDescent="0.3"/>
  <cols>
    <col min="2" max="2" width="16.875" customWidth="1"/>
    <col min="13" max="13" width="14.625" customWidth="1"/>
    <col min="16" max="16" width="14.25" customWidth="1"/>
  </cols>
  <sheetData>
    <row r="2" spans="1:20" ht="17.25" thickBot="1" x14ac:dyDescent="0.35"/>
    <row r="3" spans="1:20" x14ac:dyDescent="0.3">
      <c r="A3" s="10" t="s">
        <v>61</v>
      </c>
      <c r="B3" s="10"/>
      <c r="C3" s="10" t="s">
        <v>42</v>
      </c>
      <c r="D3" s="10" t="s">
        <v>43</v>
      </c>
      <c r="E3" s="10" t="s">
        <v>59</v>
      </c>
      <c r="F3" s="10" t="s">
        <v>56</v>
      </c>
      <c r="G3" s="15" t="s">
        <v>44</v>
      </c>
      <c r="H3" s="15" t="s">
        <v>45</v>
      </c>
      <c r="I3" s="15" t="s">
        <v>46</v>
      </c>
      <c r="M3" s="12" t="s">
        <v>71</v>
      </c>
      <c r="N3" s="13" t="s">
        <v>69</v>
      </c>
      <c r="O3" s="13" t="s">
        <v>68</v>
      </c>
      <c r="P3" s="13" t="s">
        <v>65</v>
      </c>
      <c r="Q3" s="13" t="s">
        <v>74</v>
      </c>
      <c r="R3" s="13" t="s">
        <v>75</v>
      </c>
      <c r="S3" s="13" t="s">
        <v>76</v>
      </c>
      <c r="T3" s="14" t="s">
        <v>77</v>
      </c>
    </row>
    <row r="4" spans="1:20" x14ac:dyDescent="0.3">
      <c r="A4" s="10" t="s">
        <v>40</v>
      </c>
      <c r="B4" s="10" t="s">
        <v>41</v>
      </c>
      <c r="C4" s="10">
        <v>2784</v>
      </c>
      <c r="D4" s="10">
        <v>0</v>
      </c>
      <c r="E4" s="10">
        <v>1</v>
      </c>
      <c r="F4" s="10">
        <v>29204</v>
      </c>
      <c r="G4" s="15">
        <f>IF(C4,F4/C4,0)</f>
        <v>10.489942528735632</v>
      </c>
      <c r="H4" s="15">
        <f>IF(D4,F4/D4,0)</f>
        <v>0</v>
      </c>
      <c r="I4" s="15">
        <f>IF(E4,F4/E4,0)</f>
        <v>29204</v>
      </c>
      <c r="M4" s="2" t="s">
        <v>41</v>
      </c>
      <c r="N4" s="4">
        <v>3784</v>
      </c>
      <c r="O4" s="4"/>
      <c r="P4" s="4" t="s">
        <v>70</v>
      </c>
      <c r="Q4" s="4">
        <v>10.5</v>
      </c>
      <c r="R4" s="4"/>
      <c r="S4" s="4">
        <f>Q4*N4</f>
        <v>39732</v>
      </c>
      <c r="T4" s="5">
        <f>R4*O4</f>
        <v>0</v>
      </c>
    </row>
    <row r="5" spans="1:20" x14ac:dyDescent="0.3">
      <c r="A5" s="10" t="s">
        <v>62</v>
      </c>
      <c r="B5" s="10" t="s">
        <v>47</v>
      </c>
      <c r="C5" s="10">
        <v>0</v>
      </c>
      <c r="D5" s="10">
        <v>500</v>
      </c>
      <c r="E5" s="10">
        <v>1</v>
      </c>
      <c r="F5" s="10">
        <v>8030</v>
      </c>
      <c r="G5" s="15">
        <f t="shared" ref="G5:G32" si="0">IF(C5,F5/C5,0)</f>
        <v>0</v>
      </c>
      <c r="H5" s="15">
        <f t="shared" ref="H5:H32" si="1">IF(D5,F5/D5,0)</f>
        <v>16.059999999999999</v>
      </c>
      <c r="I5" s="15">
        <f t="shared" ref="I5:I32" si="2">IF(E5,F5/E5,0)</f>
        <v>8030</v>
      </c>
      <c r="M5" s="2" t="s">
        <v>37</v>
      </c>
      <c r="N5" s="4">
        <v>300</v>
      </c>
      <c r="O5" s="4"/>
      <c r="P5" s="4"/>
      <c r="Q5" s="4">
        <v>38</v>
      </c>
      <c r="R5" s="4"/>
      <c r="S5" s="4">
        <f t="shared" ref="S5:S16" si="3">Q5*N5</f>
        <v>11400</v>
      </c>
      <c r="T5" s="5">
        <f t="shared" ref="T5:T16" si="4">R5*O5</f>
        <v>0</v>
      </c>
    </row>
    <row r="6" spans="1:20" x14ac:dyDescent="0.3">
      <c r="A6" s="10" t="s">
        <v>63</v>
      </c>
      <c r="B6" s="10" t="s">
        <v>48</v>
      </c>
      <c r="C6" s="10">
        <v>0</v>
      </c>
      <c r="D6" s="10">
        <v>500</v>
      </c>
      <c r="E6" s="10">
        <v>1</v>
      </c>
      <c r="F6" s="10">
        <v>6420</v>
      </c>
      <c r="G6" s="15">
        <f t="shared" si="0"/>
        <v>0</v>
      </c>
      <c r="H6" s="15">
        <f t="shared" si="1"/>
        <v>12.84</v>
      </c>
      <c r="I6" s="15">
        <f t="shared" si="2"/>
        <v>6420</v>
      </c>
      <c r="M6" s="2" t="s">
        <v>38</v>
      </c>
      <c r="N6" s="4">
        <v>48</v>
      </c>
      <c r="O6" s="4"/>
      <c r="P6" s="4"/>
      <c r="Q6" s="4">
        <v>148.30000000000001</v>
      </c>
      <c r="R6" s="4"/>
      <c r="S6" s="4">
        <f t="shared" si="3"/>
        <v>7118.4000000000005</v>
      </c>
      <c r="T6" s="5">
        <f t="shared" si="4"/>
        <v>0</v>
      </c>
    </row>
    <row r="7" spans="1:20" x14ac:dyDescent="0.3">
      <c r="A7" s="10" t="s">
        <v>63</v>
      </c>
      <c r="B7" s="10" t="s">
        <v>49</v>
      </c>
      <c r="C7" s="10">
        <v>500</v>
      </c>
      <c r="D7" s="10">
        <v>0</v>
      </c>
      <c r="E7" s="10">
        <v>1</v>
      </c>
      <c r="F7" s="10">
        <v>3650</v>
      </c>
      <c r="G7" s="15">
        <f t="shared" si="0"/>
        <v>7.3</v>
      </c>
      <c r="H7" s="15">
        <f t="shared" si="1"/>
        <v>0</v>
      </c>
      <c r="I7" s="15">
        <f t="shared" si="2"/>
        <v>3650</v>
      </c>
      <c r="M7" s="2" t="s">
        <v>73</v>
      </c>
      <c r="N7" s="4">
        <v>212.4</v>
      </c>
      <c r="O7" s="4"/>
      <c r="P7" s="4" t="s">
        <v>67</v>
      </c>
      <c r="Q7" s="4">
        <v>4.0999999999999996</v>
      </c>
      <c r="R7" s="4"/>
      <c r="S7" s="4">
        <f t="shared" si="3"/>
        <v>870.83999999999992</v>
      </c>
      <c r="T7" s="5">
        <f t="shared" si="4"/>
        <v>0</v>
      </c>
    </row>
    <row r="8" spans="1:20" x14ac:dyDescent="0.3">
      <c r="A8" s="10" t="s">
        <v>64</v>
      </c>
      <c r="B8" s="10" t="s">
        <v>6</v>
      </c>
      <c r="C8" s="10">
        <v>0</v>
      </c>
      <c r="D8" s="10">
        <v>1000</v>
      </c>
      <c r="E8" s="10">
        <v>1</v>
      </c>
      <c r="F8" s="10">
        <v>2880</v>
      </c>
      <c r="G8" s="15">
        <f t="shared" si="0"/>
        <v>0</v>
      </c>
      <c r="H8" s="15">
        <f t="shared" si="1"/>
        <v>2.88</v>
      </c>
      <c r="I8" s="15">
        <f t="shared" si="2"/>
        <v>2880</v>
      </c>
      <c r="M8" s="2" t="s">
        <v>6</v>
      </c>
      <c r="N8" s="4"/>
      <c r="O8" s="4">
        <v>450</v>
      </c>
      <c r="P8" s="4"/>
      <c r="Q8" s="4"/>
      <c r="R8" s="4">
        <v>2.9</v>
      </c>
      <c r="S8" s="4">
        <f t="shared" si="3"/>
        <v>0</v>
      </c>
      <c r="T8" s="5">
        <f t="shared" si="4"/>
        <v>1305</v>
      </c>
    </row>
    <row r="9" spans="1:20" x14ac:dyDescent="0.3">
      <c r="A9" s="10" t="s">
        <v>62</v>
      </c>
      <c r="B9" s="10" t="s">
        <v>50</v>
      </c>
      <c r="C9" s="10">
        <v>200</v>
      </c>
      <c r="D9" s="10">
        <v>0</v>
      </c>
      <c r="E9" s="10">
        <v>1</v>
      </c>
      <c r="F9" s="10">
        <v>6400</v>
      </c>
      <c r="G9" s="15">
        <f t="shared" si="0"/>
        <v>32</v>
      </c>
      <c r="H9" s="15">
        <f t="shared" si="1"/>
        <v>0</v>
      </c>
      <c r="I9" s="15">
        <f t="shared" si="2"/>
        <v>6400</v>
      </c>
      <c r="M9" s="2" t="s">
        <v>72</v>
      </c>
      <c r="N9" s="4">
        <v>69.599999999999994</v>
      </c>
      <c r="O9" s="4"/>
      <c r="P9" s="4" t="s">
        <v>66</v>
      </c>
      <c r="Q9" s="4">
        <v>29</v>
      </c>
      <c r="R9" s="4"/>
      <c r="S9" s="4">
        <f t="shared" si="3"/>
        <v>2018.3999999999999</v>
      </c>
      <c r="T9" s="5">
        <f t="shared" si="4"/>
        <v>0</v>
      </c>
    </row>
    <row r="10" spans="1:20" x14ac:dyDescent="0.3">
      <c r="A10" s="10" t="s">
        <v>62</v>
      </c>
      <c r="B10" s="10" t="s">
        <v>9</v>
      </c>
      <c r="C10" s="10">
        <v>300</v>
      </c>
      <c r="D10" s="10">
        <v>0</v>
      </c>
      <c r="E10" s="10">
        <v>1</v>
      </c>
      <c r="F10" s="10">
        <v>4480</v>
      </c>
      <c r="G10" s="15">
        <f t="shared" si="0"/>
        <v>14.933333333333334</v>
      </c>
      <c r="H10" s="15">
        <f t="shared" si="1"/>
        <v>0</v>
      </c>
      <c r="I10" s="15">
        <f t="shared" si="2"/>
        <v>4480</v>
      </c>
      <c r="M10" s="2" t="s">
        <v>7</v>
      </c>
      <c r="N10" s="4">
        <v>200</v>
      </c>
      <c r="O10" s="4"/>
      <c r="P10" s="4"/>
      <c r="Q10" s="4">
        <v>12.9</v>
      </c>
      <c r="R10" s="4"/>
      <c r="S10" s="4">
        <f t="shared" si="3"/>
        <v>2580</v>
      </c>
      <c r="T10" s="5">
        <f t="shared" si="4"/>
        <v>0</v>
      </c>
    </row>
    <row r="11" spans="1:20" x14ac:dyDescent="0.3">
      <c r="A11" s="10" t="s">
        <v>62</v>
      </c>
      <c r="B11" s="10" t="s">
        <v>51</v>
      </c>
      <c r="C11" s="10">
        <v>120</v>
      </c>
      <c r="D11" s="10">
        <v>0</v>
      </c>
      <c r="E11" s="10">
        <v>1</v>
      </c>
      <c r="F11" s="10">
        <v>3360</v>
      </c>
      <c r="G11" s="15">
        <f t="shared" si="0"/>
        <v>28</v>
      </c>
      <c r="H11" s="15">
        <f t="shared" si="1"/>
        <v>0</v>
      </c>
      <c r="I11" s="15">
        <f t="shared" si="2"/>
        <v>3360</v>
      </c>
      <c r="M11" s="2" t="s">
        <v>3</v>
      </c>
      <c r="N11" s="4"/>
      <c r="O11" s="4">
        <v>450</v>
      </c>
      <c r="P11" s="4"/>
      <c r="Q11" s="4"/>
      <c r="R11" s="4">
        <v>16.100000000000001</v>
      </c>
      <c r="S11" s="4">
        <f t="shared" si="3"/>
        <v>0</v>
      </c>
      <c r="T11" s="5">
        <f t="shared" si="4"/>
        <v>7245.0000000000009</v>
      </c>
    </row>
    <row r="12" spans="1:20" x14ac:dyDescent="0.3">
      <c r="A12" s="10" t="s">
        <v>62</v>
      </c>
      <c r="B12" s="10" t="s">
        <v>35</v>
      </c>
      <c r="C12" s="10">
        <v>190</v>
      </c>
      <c r="D12" s="10">
        <v>0</v>
      </c>
      <c r="E12" s="10">
        <v>0</v>
      </c>
      <c r="F12" s="10">
        <v>4980</v>
      </c>
      <c r="G12" s="15">
        <f t="shared" si="0"/>
        <v>26.210526315789473</v>
      </c>
      <c r="H12" s="15">
        <f t="shared" si="1"/>
        <v>0</v>
      </c>
      <c r="I12" s="15">
        <f t="shared" si="2"/>
        <v>0</v>
      </c>
      <c r="M12" s="2" t="s">
        <v>9</v>
      </c>
      <c r="N12" s="4">
        <v>116</v>
      </c>
      <c r="O12" s="4"/>
      <c r="P12" s="4"/>
      <c r="Q12" s="4">
        <v>14.9</v>
      </c>
      <c r="R12" s="4"/>
      <c r="S12" s="4">
        <f t="shared" si="3"/>
        <v>1728.4</v>
      </c>
      <c r="T12" s="5">
        <f t="shared" si="4"/>
        <v>0</v>
      </c>
    </row>
    <row r="13" spans="1:20" x14ac:dyDescent="0.3">
      <c r="A13" s="10" t="s">
        <v>62</v>
      </c>
      <c r="B13" s="10" t="s">
        <v>36</v>
      </c>
      <c r="C13" s="10">
        <v>226</v>
      </c>
      <c r="D13" s="10">
        <v>0</v>
      </c>
      <c r="E13" s="10">
        <v>4</v>
      </c>
      <c r="F13" s="10">
        <v>15880</v>
      </c>
      <c r="G13" s="15">
        <f t="shared" si="0"/>
        <v>70.26548672566372</v>
      </c>
      <c r="H13" s="15">
        <f t="shared" si="1"/>
        <v>0</v>
      </c>
      <c r="I13" s="15">
        <f t="shared" si="2"/>
        <v>3970</v>
      </c>
      <c r="M13" s="2" t="s">
        <v>11</v>
      </c>
      <c r="N13" s="4">
        <v>3.8</v>
      </c>
      <c r="O13" s="4"/>
      <c r="P13" s="4"/>
      <c r="Q13" s="4">
        <v>76</v>
      </c>
      <c r="R13" s="4"/>
      <c r="S13" s="4">
        <f t="shared" si="3"/>
        <v>288.8</v>
      </c>
      <c r="T13" s="5">
        <f t="shared" si="4"/>
        <v>0</v>
      </c>
    </row>
    <row r="14" spans="1:20" x14ac:dyDescent="0.3">
      <c r="A14" s="10" t="s">
        <v>62</v>
      </c>
      <c r="B14" s="10" t="s">
        <v>37</v>
      </c>
      <c r="C14" s="10">
        <v>400</v>
      </c>
      <c r="D14" s="10">
        <v>0</v>
      </c>
      <c r="E14" s="10">
        <v>4</v>
      </c>
      <c r="F14" s="10">
        <v>15200</v>
      </c>
      <c r="G14" s="15">
        <f t="shared" si="0"/>
        <v>38</v>
      </c>
      <c r="H14" s="15">
        <f t="shared" si="1"/>
        <v>0</v>
      </c>
      <c r="I14" s="15">
        <f t="shared" si="2"/>
        <v>3800</v>
      </c>
      <c r="M14" s="2" t="s">
        <v>10</v>
      </c>
      <c r="N14" s="4">
        <v>10</v>
      </c>
      <c r="O14" s="4"/>
      <c r="P14" s="4"/>
      <c r="Q14" s="4">
        <v>28</v>
      </c>
      <c r="R14" s="4"/>
      <c r="S14" s="4">
        <f t="shared" si="3"/>
        <v>280</v>
      </c>
      <c r="T14" s="5">
        <f t="shared" si="4"/>
        <v>0</v>
      </c>
    </row>
    <row r="15" spans="1:20" x14ac:dyDescent="0.3">
      <c r="A15" s="10" t="s">
        <v>62</v>
      </c>
      <c r="B15" s="10" t="s">
        <v>52</v>
      </c>
      <c r="C15" s="10">
        <v>48</v>
      </c>
      <c r="D15" s="10">
        <v>0</v>
      </c>
      <c r="E15" s="10">
        <v>4</v>
      </c>
      <c r="F15" s="10">
        <v>7120</v>
      </c>
      <c r="G15" s="15">
        <f t="shared" si="0"/>
        <v>148.33333333333334</v>
      </c>
      <c r="H15" s="15">
        <f t="shared" si="1"/>
        <v>0</v>
      </c>
      <c r="I15" s="15">
        <f t="shared" si="2"/>
        <v>1780</v>
      </c>
      <c r="M15" s="2" t="s">
        <v>39</v>
      </c>
      <c r="N15" s="4">
        <v>30</v>
      </c>
      <c r="O15" s="4"/>
      <c r="P15" s="4"/>
      <c r="Q15" s="4">
        <v>33</v>
      </c>
      <c r="R15" s="4"/>
      <c r="S15" s="4">
        <f t="shared" si="3"/>
        <v>990</v>
      </c>
      <c r="T15" s="5">
        <f t="shared" si="4"/>
        <v>0</v>
      </c>
    </row>
    <row r="16" spans="1:20" x14ac:dyDescent="0.3">
      <c r="A16" s="10" t="s">
        <v>62</v>
      </c>
      <c r="B16" s="10" t="s">
        <v>0</v>
      </c>
      <c r="C16" s="10">
        <v>300</v>
      </c>
      <c r="D16" s="10">
        <v>0</v>
      </c>
      <c r="E16" s="10">
        <v>1</v>
      </c>
      <c r="F16" s="10">
        <v>9900</v>
      </c>
      <c r="G16" s="15">
        <f t="shared" si="0"/>
        <v>33</v>
      </c>
      <c r="H16" s="15">
        <f t="shared" si="1"/>
        <v>0</v>
      </c>
      <c r="I16" s="15">
        <f t="shared" si="2"/>
        <v>9900</v>
      </c>
      <c r="M16" s="2" t="s">
        <v>1</v>
      </c>
      <c r="N16" s="4">
        <v>7</v>
      </c>
      <c r="O16" s="4"/>
      <c r="P16" s="4"/>
      <c r="Q16" s="4"/>
      <c r="R16" s="4"/>
      <c r="S16" s="4">
        <f t="shared" si="3"/>
        <v>0</v>
      </c>
      <c r="T16" s="5">
        <f t="shared" si="4"/>
        <v>0</v>
      </c>
    </row>
    <row r="17" spans="1:20" x14ac:dyDescent="0.3">
      <c r="A17" s="10" t="s">
        <v>62</v>
      </c>
      <c r="B17" s="10" t="s">
        <v>7</v>
      </c>
      <c r="C17" s="10">
        <v>200</v>
      </c>
      <c r="D17" s="10">
        <v>0</v>
      </c>
      <c r="E17" s="10">
        <v>1</v>
      </c>
      <c r="F17" s="10">
        <v>2570</v>
      </c>
      <c r="G17" s="15">
        <f t="shared" si="0"/>
        <v>12.85</v>
      </c>
      <c r="H17" s="15">
        <f t="shared" si="1"/>
        <v>0</v>
      </c>
      <c r="I17" s="15">
        <f t="shared" si="2"/>
        <v>2570</v>
      </c>
      <c r="M17" s="2" t="s">
        <v>78</v>
      </c>
      <c r="N17" s="4">
        <f>SUM(N4:N16)</f>
        <v>4780.8</v>
      </c>
      <c r="O17" s="4">
        <f t="shared" ref="O17:T17" si="5">SUM(O4:O16)</f>
        <v>900</v>
      </c>
      <c r="P17" s="4">
        <f t="shared" si="5"/>
        <v>0</v>
      </c>
      <c r="Q17" s="4">
        <f t="shared" si="5"/>
        <v>394.7</v>
      </c>
      <c r="R17" s="4">
        <f t="shared" si="5"/>
        <v>19</v>
      </c>
      <c r="S17" s="4">
        <f t="shared" si="5"/>
        <v>67006.84</v>
      </c>
      <c r="T17" s="5">
        <f t="shared" si="5"/>
        <v>8550</v>
      </c>
    </row>
    <row r="18" spans="1:20" ht="17.25" thickBot="1" x14ac:dyDescent="0.35">
      <c r="A18" s="10" t="s">
        <v>62</v>
      </c>
      <c r="B18" s="10" t="s">
        <v>57</v>
      </c>
      <c r="C18" s="10">
        <v>2210</v>
      </c>
      <c r="D18" s="10">
        <v>0</v>
      </c>
      <c r="E18" s="10">
        <v>11</v>
      </c>
      <c r="F18" s="10">
        <v>8980</v>
      </c>
      <c r="G18" s="15">
        <f t="shared" si="0"/>
        <v>4.0633484162895925</v>
      </c>
      <c r="H18" s="15">
        <f t="shared" si="1"/>
        <v>0</v>
      </c>
      <c r="I18" s="15">
        <f t="shared" si="2"/>
        <v>816.36363636363637</v>
      </c>
      <c r="M18" s="6"/>
      <c r="N18" s="7"/>
      <c r="O18" s="7"/>
      <c r="P18" s="7"/>
      <c r="Q18" s="7"/>
      <c r="R18" s="7"/>
      <c r="S18" s="21">
        <f>S17+T17</f>
        <v>75556.84</v>
      </c>
      <c r="T18" s="22"/>
    </row>
    <row r="19" spans="1:20" ht="17.25" thickBot="1" x14ac:dyDescent="0.35">
      <c r="A19" s="10" t="s">
        <v>62</v>
      </c>
      <c r="B19" s="10" t="s">
        <v>58</v>
      </c>
      <c r="C19" s="10">
        <v>205</v>
      </c>
      <c r="D19" s="10">
        <v>0</v>
      </c>
      <c r="E19" s="10">
        <v>3</v>
      </c>
      <c r="F19" s="10">
        <v>5940</v>
      </c>
      <c r="G19" s="15">
        <f t="shared" si="0"/>
        <v>28.975609756097562</v>
      </c>
      <c r="H19" s="15">
        <f t="shared" si="1"/>
        <v>0</v>
      </c>
      <c r="I19" s="15">
        <f t="shared" si="2"/>
        <v>1980</v>
      </c>
    </row>
    <row r="20" spans="1:20" x14ac:dyDescent="0.3">
      <c r="A20" s="10" t="s">
        <v>62</v>
      </c>
      <c r="B20" s="10" t="s">
        <v>54</v>
      </c>
      <c r="C20" s="10">
        <v>200</v>
      </c>
      <c r="D20" s="10">
        <v>0</v>
      </c>
      <c r="E20" s="10">
        <v>30</v>
      </c>
      <c r="F20" s="10">
        <v>6000</v>
      </c>
      <c r="G20" s="15">
        <f t="shared" si="0"/>
        <v>30</v>
      </c>
      <c r="H20" s="15">
        <f t="shared" si="1"/>
        <v>0</v>
      </c>
      <c r="I20" s="15">
        <f t="shared" si="2"/>
        <v>200</v>
      </c>
      <c r="M20" s="12" t="s">
        <v>25</v>
      </c>
      <c r="N20" s="13" t="s">
        <v>69</v>
      </c>
      <c r="O20" s="13" t="s">
        <v>68</v>
      </c>
      <c r="P20" s="13" t="s">
        <v>65</v>
      </c>
      <c r="Q20" s="13" t="s">
        <v>74</v>
      </c>
      <c r="R20" s="13" t="s">
        <v>75</v>
      </c>
      <c r="S20" s="13" t="s">
        <v>76</v>
      </c>
      <c r="T20" s="14" t="s">
        <v>77</v>
      </c>
    </row>
    <row r="21" spans="1:20" x14ac:dyDescent="0.3">
      <c r="A21" s="10" t="s">
        <v>62</v>
      </c>
      <c r="B21" s="10" t="s">
        <v>55</v>
      </c>
      <c r="C21" s="10">
        <v>472</v>
      </c>
      <c r="D21" s="10">
        <v>0</v>
      </c>
      <c r="E21" s="10">
        <v>2</v>
      </c>
      <c r="F21" s="10">
        <v>2940</v>
      </c>
      <c r="G21" s="15">
        <f t="shared" si="0"/>
        <v>6.2288135593220337</v>
      </c>
      <c r="H21" s="15">
        <f t="shared" si="1"/>
        <v>0</v>
      </c>
      <c r="I21" s="15">
        <f t="shared" si="2"/>
        <v>1470</v>
      </c>
      <c r="M21" s="2" t="s">
        <v>71</v>
      </c>
      <c r="N21" s="4">
        <v>100</v>
      </c>
      <c r="O21" s="4"/>
      <c r="P21" s="4"/>
      <c r="Q21" s="4">
        <v>28.9</v>
      </c>
      <c r="R21" s="4"/>
      <c r="S21" s="4">
        <f>N21*Q21</f>
        <v>2890</v>
      </c>
      <c r="T21" s="5"/>
    </row>
    <row r="22" spans="1:20" x14ac:dyDescent="0.3">
      <c r="A22" s="10" t="s">
        <v>62</v>
      </c>
      <c r="B22" s="10" t="s">
        <v>60</v>
      </c>
      <c r="C22" s="10">
        <v>0</v>
      </c>
      <c r="D22" s="10">
        <v>750</v>
      </c>
      <c r="E22" s="10">
        <v>1</v>
      </c>
      <c r="F22" s="10">
        <v>13990</v>
      </c>
      <c r="G22" s="15">
        <f t="shared" si="0"/>
        <v>0</v>
      </c>
      <c r="H22" s="15">
        <f t="shared" si="1"/>
        <v>18.653333333333332</v>
      </c>
      <c r="I22" s="15">
        <f t="shared" si="2"/>
        <v>13990</v>
      </c>
      <c r="M22" s="2" t="s">
        <v>19</v>
      </c>
      <c r="N22" s="4">
        <v>100</v>
      </c>
      <c r="O22" s="4"/>
      <c r="P22" s="4"/>
      <c r="Q22" s="4">
        <v>11.6</v>
      </c>
      <c r="R22" s="4"/>
      <c r="S22" s="4">
        <f t="shared" ref="S22:S27" si="6">N22*Q22</f>
        <v>1160</v>
      </c>
      <c r="T22" s="5"/>
    </row>
    <row r="23" spans="1:20" x14ac:dyDescent="0.3">
      <c r="A23" s="10" t="s">
        <v>40</v>
      </c>
      <c r="B23" s="10" t="s">
        <v>20</v>
      </c>
      <c r="C23" s="10">
        <v>1700</v>
      </c>
      <c r="D23" s="10">
        <v>0</v>
      </c>
      <c r="E23" s="10">
        <v>2</v>
      </c>
      <c r="F23" s="10">
        <v>7890</v>
      </c>
      <c r="G23" s="15">
        <f t="shared" si="0"/>
        <v>4.6411764705882357</v>
      </c>
      <c r="H23" s="15">
        <f t="shared" si="1"/>
        <v>0</v>
      </c>
      <c r="I23" s="15">
        <f t="shared" si="2"/>
        <v>3945</v>
      </c>
      <c r="M23" s="2" t="s">
        <v>24</v>
      </c>
      <c r="N23" s="4">
        <v>12</v>
      </c>
      <c r="O23" s="4"/>
      <c r="P23" s="4"/>
      <c r="Q23" s="4">
        <v>25.4</v>
      </c>
      <c r="R23" s="4"/>
      <c r="S23" s="4">
        <f t="shared" si="6"/>
        <v>304.79999999999995</v>
      </c>
      <c r="T23" s="5"/>
    </row>
    <row r="24" spans="1:20" x14ac:dyDescent="0.3">
      <c r="A24" s="10" t="s">
        <v>62</v>
      </c>
      <c r="B24" s="10" t="s">
        <v>11</v>
      </c>
      <c r="C24" s="10">
        <v>55</v>
      </c>
      <c r="D24" s="10">
        <v>0</v>
      </c>
      <c r="E24" s="10">
        <v>1</v>
      </c>
      <c r="F24" s="10">
        <v>4180</v>
      </c>
      <c r="G24" s="15">
        <f t="shared" si="0"/>
        <v>76</v>
      </c>
      <c r="H24" s="15">
        <f t="shared" si="1"/>
        <v>0</v>
      </c>
      <c r="I24" s="15">
        <f t="shared" si="2"/>
        <v>4180</v>
      </c>
      <c r="M24" s="2" t="s">
        <v>20</v>
      </c>
      <c r="N24" s="8">
        <v>28.7</v>
      </c>
      <c r="O24" s="4"/>
      <c r="P24" s="4"/>
      <c r="Q24" s="4">
        <v>4.5999999999999996</v>
      </c>
      <c r="R24" s="4"/>
      <c r="S24" s="4">
        <f t="shared" si="6"/>
        <v>132.01999999999998</v>
      </c>
      <c r="T24" s="5"/>
    </row>
    <row r="25" spans="1:20" x14ac:dyDescent="0.3">
      <c r="A25" s="10" t="s">
        <v>62</v>
      </c>
      <c r="B25" s="10" t="s">
        <v>31</v>
      </c>
      <c r="C25" s="10">
        <v>1200</v>
      </c>
      <c r="D25" s="10">
        <v>0</v>
      </c>
      <c r="E25" s="10">
        <v>2</v>
      </c>
      <c r="F25" s="10">
        <v>13400</v>
      </c>
      <c r="G25" s="15">
        <f t="shared" si="0"/>
        <v>11.166666666666666</v>
      </c>
      <c r="H25" s="15">
        <f t="shared" si="1"/>
        <v>0</v>
      </c>
      <c r="I25" s="15">
        <f t="shared" si="2"/>
        <v>6700</v>
      </c>
      <c r="M25" s="2" t="s">
        <v>82</v>
      </c>
      <c r="N25" s="8">
        <v>13.6</v>
      </c>
      <c r="O25" s="4"/>
      <c r="P25" s="4"/>
      <c r="Q25" s="8">
        <v>15.1</v>
      </c>
      <c r="R25" s="4"/>
      <c r="S25" s="4">
        <f t="shared" si="6"/>
        <v>205.35999999999999</v>
      </c>
      <c r="T25" s="5"/>
    </row>
    <row r="26" spans="1:20" x14ac:dyDescent="0.3">
      <c r="A26" s="10" t="s">
        <v>63</v>
      </c>
      <c r="B26" s="10" t="s">
        <v>19</v>
      </c>
      <c r="C26" s="10">
        <v>500</v>
      </c>
      <c r="D26" s="10">
        <v>0</v>
      </c>
      <c r="E26" s="10">
        <v>5</v>
      </c>
      <c r="F26" s="10">
        <v>5800</v>
      </c>
      <c r="G26" s="15">
        <f t="shared" si="0"/>
        <v>11.6</v>
      </c>
      <c r="H26" s="15">
        <f t="shared" si="1"/>
        <v>0</v>
      </c>
      <c r="I26" s="15">
        <f t="shared" si="2"/>
        <v>1160</v>
      </c>
      <c r="M26" s="2" t="s">
        <v>21</v>
      </c>
      <c r="N26" s="4"/>
      <c r="O26" s="4"/>
      <c r="P26" s="4"/>
      <c r="Q26" s="4"/>
      <c r="R26" s="4"/>
      <c r="S26" s="4">
        <f t="shared" si="6"/>
        <v>0</v>
      </c>
      <c r="T26" s="5"/>
    </row>
    <row r="27" spans="1:20" x14ac:dyDescent="0.3">
      <c r="A27" s="10" t="s">
        <v>63</v>
      </c>
      <c r="B27" s="10" t="s">
        <v>21</v>
      </c>
      <c r="C27" s="10">
        <v>0</v>
      </c>
      <c r="D27" s="10">
        <v>2000</v>
      </c>
      <c r="E27" s="10">
        <v>2</v>
      </c>
      <c r="F27" s="10">
        <v>12950</v>
      </c>
      <c r="G27" s="15">
        <f t="shared" si="0"/>
        <v>0</v>
      </c>
      <c r="H27" s="15">
        <f t="shared" si="1"/>
        <v>6.4749999999999996</v>
      </c>
      <c r="I27" s="15">
        <f t="shared" si="2"/>
        <v>6475</v>
      </c>
      <c r="M27" s="2" t="s">
        <v>83</v>
      </c>
      <c r="N27" s="8">
        <v>20</v>
      </c>
      <c r="O27" s="4"/>
      <c r="P27" s="4"/>
      <c r="Q27" s="4">
        <v>32</v>
      </c>
      <c r="R27" s="4"/>
      <c r="S27" s="4">
        <f t="shared" si="6"/>
        <v>640</v>
      </c>
      <c r="T27" s="5"/>
    </row>
    <row r="28" spans="1:20" ht="17.25" thickBot="1" x14ac:dyDescent="0.35">
      <c r="A28" s="10" t="s">
        <v>40</v>
      </c>
      <c r="B28" s="10" t="s">
        <v>22</v>
      </c>
      <c r="C28" s="10">
        <v>1360</v>
      </c>
      <c r="D28" s="10">
        <v>0</v>
      </c>
      <c r="E28" s="10">
        <v>50</v>
      </c>
      <c r="F28" s="10">
        <v>20490</v>
      </c>
      <c r="G28" s="15">
        <f t="shared" si="0"/>
        <v>15.066176470588236</v>
      </c>
      <c r="H28" s="15">
        <f t="shared" si="1"/>
        <v>0</v>
      </c>
      <c r="I28" s="15">
        <f t="shared" si="2"/>
        <v>409.8</v>
      </c>
      <c r="M28" s="6" t="s">
        <v>78</v>
      </c>
      <c r="N28" s="7"/>
      <c r="O28" s="7"/>
      <c r="P28" s="7"/>
      <c r="Q28" s="7"/>
      <c r="R28" s="7"/>
      <c r="S28" s="21">
        <f>SUM(S21:T27)</f>
        <v>5332.1799999999994</v>
      </c>
      <c r="T28" s="22"/>
    </row>
    <row r="29" spans="1:20" x14ac:dyDescent="0.3">
      <c r="A29" s="10" t="s">
        <v>62</v>
      </c>
      <c r="B29" s="10" t="s">
        <v>24</v>
      </c>
      <c r="C29" s="10">
        <v>240</v>
      </c>
      <c r="D29" s="10">
        <v>0</v>
      </c>
      <c r="E29" s="10">
        <v>3</v>
      </c>
      <c r="F29" s="10">
        <v>6100</v>
      </c>
      <c r="G29" s="15">
        <f t="shared" si="0"/>
        <v>25.416666666666668</v>
      </c>
      <c r="H29" s="15">
        <f t="shared" si="1"/>
        <v>0</v>
      </c>
      <c r="I29" s="15">
        <f t="shared" si="2"/>
        <v>2033.3333333333333</v>
      </c>
    </row>
    <row r="30" spans="1:20" x14ac:dyDescent="0.3">
      <c r="A30" s="10" t="s">
        <v>63</v>
      </c>
      <c r="B30" s="10" t="s">
        <v>34</v>
      </c>
      <c r="C30" s="10"/>
      <c r="D30" s="10"/>
      <c r="E30" s="10">
        <v>1</v>
      </c>
      <c r="F30" s="10">
        <v>16400</v>
      </c>
      <c r="G30" s="15">
        <f t="shared" si="0"/>
        <v>0</v>
      </c>
      <c r="H30" s="15">
        <f t="shared" si="1"/>
        <v>0</v>
      </c>
      <c r="I30" s="15">
        <f t="shared" si="2"/>
        <v>16400</v>
      </c>
    </row>
    <row r="31" spans="1:20" x14ac:dyDescent="0.3">
      <c r="G31" s="15">
        <f t="shared" si="0"/>
        <v>0</v>
      </c>
      <c r="H31" s="15">
        <f t="shared" si="1"/>
        <v>0</v>
      </c>
      <c r="I31" s="15">
        <f t="shared" si="2"/>
        <v>0</v>
      </c>
    </row>
    <row r="32" spans="1:20" x14ac:dyDescent="0.3">
      <c r="A32" s="10" t="s">
        <v>79</v>
      </c>
      <c r="B32" s="10" t="s">
        <v>71</v>
      </c>
      <c r="C32">
        <v>2616.9</v>
      </c>
      <c r="F32" s="10">
        <v>75572</v>
      </c>
      <c r="G32" s="15">
        <f t="shared" si="0"/>
        <v>28.878443960411172</v>
      </c>
      <c r="H32" s="15">
        <f t="shared" si="1"/>
        <v>0</v>
      </c>
      <c r="I32" s="15">
        <f t="shared" si="2"/>
        <v>0</v>
      </c>
    </row>
  </sheetData>
  <mergeCells count="2">
    <mergeCell ref="S18:T18"/>
    <mergeCell ref="S28:T28"/>
  </mergeCells>
  <phoneticPr fontId="1" type="noConversion"/>
  <pageMargins left="0.7" right="0.7" top="0.75" bottom="0.75" header="0.3" footer="0.3"/>
  <pageSetup paperSize="9" scale="60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F883-24DC-424E-83EC-FCC83C7A940B}">
  <sheetPr>
    <pageSetUpPr fitToPage="1"/>
  </sheetPr>
  <dimension ref="A2:T30"/>
  <sheetViews>
    <sheetView workbookViewId="0">
      <selection activeCell="S30" sqref="S30"/>
    </sheetView>
  </sheetViews>
  <sheetFormatPr defaultRowHeight="16.5" x14ac:dyDescent="0.3"/>
  <cols>
    <col min="13" max="13" width="16.125" customWidth="1"/>
    <col min="19" max="20" width="9" style="16"/>
  </cols>
  <sheetData>
    <row r="2" spans="1:20" ht="17.25" thickBot="1" x14ac:dyDescent="0.35"/>
    <row r="3" spans="1:20" x14ac:dyDescent="0.3">
      <c r="A3" s="10" t="s">
        <v>61</v>
      </c>
      <c r="B3" s="10"/>
      <c r="C3" s="10" t="s">
        <v>42</v>
      </c>
      <c r="D3" s="10" t="s">
        <v>43</v>
      </c>
      <c r="E3" s="10" t="s">
        <v>59</v>
      </c>
      <c r="F3" s="10" t="s">
        <v>56</v>
      </c>
      <c r="G3" s="11" t="s">
        <v>44</v>
      </c>
      <c r="H3" s="11" t="s">
        <v>45</v>
      </c>
      <c r="I3" s="11" t="s">
        <v>46</v>
      </c>
      <c r="M3" s="12" t="s">
        <v>84</v>
      </c>
      <c r="N3" s="13" t="s">
        <v>69</v>
      </c>
      <c r="O3" s="13" t="s">
        <v>68</v>
      </c>
      <c r="P3" s="13" t="s">
        <v>65</v>
      </c>
      <c r="Q3" s="13" t="s">
        <v>74</v>
      </c>
      <c r="R3" s="13" t="s">
        <v>75</v>
      </c>
      <c r="S3" s="17" t="s">
        <v>76</v>
      </c>
      <c r="T3" s="18" t="s">
        <v>77</v>
      </c>
    </row>
    <row r="4" spans="1:20" x14ac:dyDescent="0.3">
      <c r="A4" s="10" t="s">
        <v>40</v>
      </c>
      <c r="B4" s="10" t="s">
        <v>41</v>
      </c>
      <c r="C4" s="10">
        <v>2784</v>
      </c>
      <c r="D4" s="10">
        <v>0</v>
      </c>
      <c r="E4" s="10">
        <v>1</v>
      </c>
      <c r="F4" s="10">
        <v>29204</v>
      </c>
      <c r="G4" s="11">
        <f>IF(C4,F4/C4,0)</f>
        <v>10.489942528735632</v>
      </c>
      <c r="H4" s="11">
        <f>IF(D4,F4/D4,0)</f>
        <v>0</v>
      </c>
      <c r="I4" s="11">
        <f>IF(E4,F4/E4,0)</f>
        <v>29204</v>
      </c>
      <c r="M4" s="2" t="s">
        <v>27</v>
      </c>
      <c r="N4" s="4"/>
      <c r="O4" s="4">
        <v>50</v>
      </c>
      <c r="P4" s="4"/>
      <c r="Q4" s="4"/>
      <c r="R4" s="4">
        <v>16.100000000000001</v>
      </c>
      <c r="S4" s="19">
        <f>N4*Q4</f>
        <v>0</v>
      </c>
      <c r="T4" s="20">
        <f>O4*R4</f>
        <v>805.00000000000011</v>
      </c>
    </row>
    <row r="5" spans="1:20" x14ac:dyDescent="0.3">
      <c r="A5" s="10" t="s">
        <v>62</v>
      </c>
      <c r="B5" s="10" t="s">
        <v>47</v>
      </c>
      <c r="C5" s="10">
        <v>0</v>
      </c>
      <c r="D5" s="10">
        <v>500</v>
      </c>
      <c r="E5" s="10">
        <v>1</v>
      </c>
      <c r="F5" s="10">
        <v>8030</v>
      </c>
      <c r="G5" s="11">
        <f t="shared" ref="G5:G30" si="0">IF(C5,F5/C5,0)</f>
        <v>0</v>
      </c>
      <c r="H5" s="11">
        <f t="shared" ref="H5:H30" si="1">IF(D5,F5/D5,0)</f>
        <v>16.059999999999999</v>
      </c>
      <c r="I5" s="11">
        <f t="shared" ref="I5:I30" si="2">IF(E5,F5/E5,0)</f>
        <v>8030</v>
      </c>
      <c r="M5" s="2" t="s">
        <v>28</v>
      </c>
      <c r="N5" s="4">
        <v>96.6</v>
      </c>
      <c r="O5" s="4">
        <v>50</v>
      </c>
      <c r="P5" s="4"/>
      <c r="Q5" s="4">
        <v>6.2</v>
      </c>
      <c r="R5" s="4"/>
      <c r="S5" s="19">
        <f t="shared" ref="S5:S9" si="3">N5*Q5</f>
        <v>598.91999999999996</v>
      </c>
      <c r="T5" s="20">
        <f t="shared" ref="T5:T9" si="4">O5*R5</f>
        <v>0</v>
      </c>
    </row>
    <row r="6" spans="1:20" x14ac:dyDescent="0.3">
      <c r="A6" s="10" t="s">
        <v>63</v>
      </c>
      <c r="B6" s="10" t="s">
        <v>87</v>
      </c>
      <c r="C6" s="10">
        <v>0</v>
      </c>
      <c r="D6" s="10">
        <v>500</v>
      </c>
      <c r="E6" s="10">
        <v>1</v>
      </c>
      <c r="F6" s="10">
        <v>6420</v>
      </c>
      <c r="G6" s="11">
        <f t="shared" si="0"/>
        <v>0</v>
      </c>
      <c r="H6" s="11">
        <f t="shared" si="1"/>
        <v>12.84</v>
      </c>
      <c r="I6" s="11">
        <f t="shared" si="2"/>
        <v>6420</v>
      </c>
      <c r="M6" s="2" t="s">
        <v>85</v>
      </c>
      <c r="N6" s="4"/>
      <c r="O6" s="4">
        <v>50</v>
      </c>
      <c r="P6" s="4"/>
      <c r="Q6" s="4"/>
      <c r="R6" s="4">
        <v>12.8</v>
      </c>
      <c r="S6" s="19">
        <f t="shared" si="3"/>
        <v>0</v>
      </c>
      <c r="T6" s="20">
        <f t="shared" si="4"/>
        <v>640</v>
      </c>
    </row>
    <row r="7" spans="1:20" x14ac:dyDescent="0.3">
      <c r="A7" s="10" t="s">
        <v>63</v>
      </c>
      <c r="B7" s="10" t="s">
        <v>49</v>
      </c>
      <c r="C7" s="10">
        <v>500</v>
      </c>
      <c r="D7" s="10">
        <v>0</v>
      </c>
      <c r="E7" s="10">
        <v>1</v>
      </c>
      <c r="F7" s="10">
        <v>3650</v>
      </c>
      <c r="G7" s="11">
        <f t="shared" si="0"/>
        <v>7.3</v>
      </c>
      <c r="H7" s="11">
        <f t="shared" si="1"/>
        <v>0</v>
      </c>
      <c r="I7" s="11">
        <f t="shared" si="2"/>
        <v>3650</v>
      </c>
      <c r="M7" s="2" t="s">
        <v>30</v>
      </c>
      <c r="N7" s="4"/>
      <c r="O7" s="4">
        <v>50</v>
      </c>
      <c r="P7" s="4"/>
      <c r="Q7" s="4"/>
      <c r="R7" s="4">
        <v>18.7</v>
      </c>
      <c r="S7" s="19">
        <f t="shared" si="3"/>
        <v>0</v>
      </c>
      <c r="T7" s="20">
        <f t="shared" si="4"/>
        <v>935</v>
      </c>
    </row>
    <row r="8" spans="1:20" x14ac:dyDescent="0.3">
      <c r="A8" s="10" t="s">
        <v>64</v>
      </c>
      <c r="B8" s="10" t="s">
        <v>6</v>
      </c>
      <c r="C8" s="10">
        <v>0</v>
      </c>
      <c r="D8" s="10">
        <v>1000</v>
      </c>
      <c r="E8" s="10">
        <v>1</v>
      </c>
      <c r="F8" s="10">
        <v>2880</v>
      </c>
      <c r="G8" s="11">
        <f t="shared" si="0"/>
        <v>0</v>
      </c>
      <c r="H8" s="11">
        <f t="shared" si="1"/>
        <v>2.88</v>
      </c>
      <c r="I8" s="11">
        <f t="shared" si="2"/>
        <v>2880</v>
      </c>
      <c r="M8" s="2" t="s">
        <v>31</v>
      </c>
      <c r="N8" s="4"/>
      <c r="O8" s="4">
        <v>50</v>
      </c>
      <c r="P8" s="4"/>
      <c r="Q8" s="4">
        <v>11.2</v>
      </c>
      <c r="R8" s="4"/>
      <c r="S8" s="19">
        <f t="shared" si="3"/>
        <v>0</v>
      </c>
      <c r="T8" s="20">
        <f t="shared" si="4"/>
        <v>0</v>
      </c>
    </row>
    <row r="9" spans="1:20" x14ac:dyDescent="0.3">
      <c r="A9" s="10" t="s">
        <v>62</v>
      </c>
      <c r="B9" s="10" t="s">
        <v>50</v>
      </c>
      <c r="C9" s="10">
        <v>200</v>
      </c>
      <c r="D9" s="10">
        <v>0</v>
      </c>
      <c r="E9" s="10">
        <v>1</v>
      </c>
      <c r="F9" s="10">
        <v>6400</v>
      </c>
      <c r="G9" s="11">
        <f t="shared" si="0"/>
        <v>32</v>
      </c>
      <c r="H9" s="11">
        <f t="shared" si="1"/>
        <v>0</v>
      </c>
      <c r="I9" s="11">
        <f t="shared" si="2"/>
        <v>6400</v>
      </c>
      <c r="M9" s="2" t="s">
        <v>86</v>
      </c>
      <c r="N9" s="4"/>
      <c r="O9" s="4"/>
      <c r="P9" s="4"/>
      <c r="Q9" s="4"/>
      <c r="R9" s="4"/>
      <c r="S9" s="19">
        <f t="shared" si="3"/>
        <v>0</v>
      </c>
      <c r="T9" s="20">
        <f t="shared" si="4"/>
        <v>0</v>
      </c>
    </row>
    <row r="10" spans="1:20" x14ac:dyDescent="0.3">
      <c r="A10" s="10" t="s">
        <v>62</v>
      </c>
      <c r="B10" s="10" t="s">
        <v>9</v>
      </c>
      <c r="C10" s="10">
        <v>300</v>
      </c>
      <c r="D10" s="10">
        <v>0</v>
      </c>
      <c r="E10" s="10">
        <v>1</v>
      </c>
      <c r="F10" s="10">
        <v>4480</v>
      </c>
      <c r="G10" s="11">
        <f t="shared" si="0"/>
        <v>14.933333333333334</v>
      </c>
      <c r="H10" s="11">
        <f t="shared" si="1"/>
        <v>0</v>
      </c>
      <c r="I10" s="11">
        <f t="shared" si="2"/>
        <v>4480</v>
      </c>
      <c r="M10" s="2" t="s">
        <v>91</v>
      </c>
      <c r="N10" s="4"/>
      <c r="O10" s="4"/>
      <c r="P10" s="4"/>
      <c r="Q10" s="4"/>
      <c r="R10" s="4"/>
      <c r="S10" s="19"/>
      <c r="T10" s="20"/>
    </row>
    <row r="11" spans="1:20" ht="17.25" thickBot="1" x14ac:dyDescent="0.35">
      <c r="A11" s="10" t="s">
        <v>62</v>
      </c>
      <c r="B11" s="10" t="s">
        <v>51</v>
      </c>
      <c r="C11" s="10">
        <v>12</v>
      </c>
      <c r="D11" s="10">
        <v>0</v>
      </c>
      <c r="E11" s="10">
        <v>1</v>
      </c>
      <c r="F11" s="10">
        <v>3360</v>
      </c>
      <c r="G11" s="11">
        <f t="shared" si="0"/>
        <v>280</v>
      </c>
      <c r="H11" s="11">
        <f t="shared" si="1"/>
        <v>0</v>
      </c>
      <c r="I11" s="11">
        <f t="shared" si="2"/>
        <v>3360</v>
      </c>
      <c r="M11" s="6" t="s">
        <v>78</v>
      </c>
      <c r="N11" s="7"/>
      <c r="O11" s="7"/>
      <c r="P11" s="7"/>
      <c r="Q11" s="7"/>
      <c r="R11" s="7"/>
      <c r="S11" s="23">
        <f>SUM(S4:T10)</f>
        <v>2978.92</v>
      </c>
      <c r="T11" s="24"/>
    </row>
    <row r="12" spans="1:20" x14ac:dyDescent="0.3">
      <c r="A12" s="10" t="s">
        <v>62</v>
      </c>
      <c r="B12" s="10" t="s">
        <v>35</v>
      </c>
      <c r="C12" s="10">
        <v>190</v>
      </c>
      <c r="D12" s="10">
        <v>0</v>
      </c>
      <c r="E12" s="10">
        <v>0</v>
      </c>
      <c r="F12" s="10">
        <v>4980</v>
      </c>
      <c r="G12" s="11">
        <f t="shared" si="0"/>
        <v>26.210526315789473</v>
      </c>
      <c r="H12" s="11">
        <f t="shared" si="1"/>
        <v>0</v>
      </c>
      <c r="I12" s="11">
        <f t="shared" si="2"/>
        <v>0</v>
      </c>
    </row>
    <row r="13" spans="1:20" x14ac:dyDescent="0.3">
      <c r="A13" s="10" t="s">
        <v>62</v>
      </c>
      <c r="B13" s="10" t="s">
        <v>36</v>
      </c>
      <c r="C13" s="10">
        <v>226</v>
      </c>
      <c r="D13" s="10">
        <v>0</v>
      </c>
      <c r="E13" s="10">
        <v>4</v>
      </c>
      <c r="F13" s="10">
        <v>15880</v>
      </c>
      <c r="G13" s="11">
        <f t="shared" si="0"/>
        <v>70.26548672566372</v>
      </c>
      <c r="H13" s="11">
        <f t="shared" si="1"/>
        <v>0</v>
      </c>
      <c r="I13" s="11">
        <f t="shared" si="2"/>
        <v>3970</v>
      </c>
    </row>
    <row r="14" spans="1:20" ht="17.25" thickBot="1" x14ac:dyDescent="0.35">
      <c r="A14" s="10" t="s">
        <v>62</v>
      </c>
      <c r="B14" s="10" t="s">
        <v>37</v>
      </c>
      <c r="C14" s="10">
        <v>400</v>
      </c>
      <c r="D14" s="10">
        <v>0</v>
      </c>
      <c r="E14" s="10">
        <v>4</v>
      </c>
      <c r="F14" s="10">
        <v>15200</v>
      </c>
      <c r="G14" s="11">
        <f t="shared" si="0"/>
        <v>38</v>
      </c>
      <c r="H14" s="11">
        <f t="shared" si="1"/>
        <v>0</v>
      </c>
      <c r="I14" s="11">
        <f t="shared" si="2"/>
        <v>3800</v>
      </c>
    </row>
    <row r="15" spans="1:20" x14ac:dyDescent="0.3">
      <c r="A15" s="10" t="s">
        <v>62</v>
      </c>
      <c r="B15" s="10" t="s">
        <v>52</v>
      </c>
      <c r="C15" s="10">
        <v>48</v>
      </c>
      <c r="D15" s="10">
        <v>0</v>
      </c>
      <c r="E15" s="10">
        <v>4</v>
      </c>
      <c r="F15" s="10">
        <v>7120</v>
      </c>
      <c r="G15" s="11">
        <f t="shared" si="0"/>
        <v>148.33333333333334</v>
      </c>
      <c r="H15" s="11">
        <f t="shared" si="1"/>
        <v>0</v>
      </c>
      <c r="I15" s="11">
        <f t="shared" si="2"/>
        <v>1780</v>
      </c>
      <c r="M15" s="12" t="s">
        <v>26</v>
      </c>
      <c r="N15" s="13" t="s">
        <v>69</v>
      </c>
      <c r="O15" s="13" t="s">
        <v>68</v>
      </c>
      <c r="P15" s="13" t="s">
        <v>65</v>
      </c>
      <c r="Q15" s="13" t="s">
        <v>74</v>
      </c>
      <c r="R15" s="13" t="s">
        <v>75</v>
      </c>
      <c r="S15" s="17" t="s">
        <v>76</v>
      </c>
      <c r="T15" s="18" t="s">
        <v>77</v>
      </c>
    </row>
    <row r="16" spans="1:20" x14ac:dyDescent="0.3">
      <c r="A16" s="10" t="s">
        <v>62</v>
      </c>
      <c r="B16" s="10" t="s">
        <v>0</v>
      </c>
      <c r="C16" s="10">
        <v>300</v>
      </c>
      <c r="D16" s="10">
        <v>0</v>
      </c>
      <c r="E16" s="10">
        <v>1</v>
      </c>
      <c r="F16" s="10">
        <v>9900</v>
      </c>
      <c r="G16" s="11">
        <f t="shared" si="0"/>
        <v>33</v>
      </c>
      <c r="H16" s="11">
        <f t="shared" si="1"/>
        <v>0</v>
      </c>
      <c r="I16" s="11">
        <f t="shared" si="2"/>
        <v>9900</v>
      </c>
      <c r="M16" s="2" t="s">
        <v>32</v>
      </c>
      <c r="N16" s="4">
        <v>100</v>
      </c>
      <c r="O16" s="4"/>
      <c r="P16" s="4"/>
      <c r="Q16" s="4">
        <v>7.3</v>
      </c>
      <c r="R16" s="4"/>
      <c r="S16" s="19">
        <f>N16*Q16</f>
        <v>730</v>
      </c>
      <c r="T16" s="20">
        <f>O16*R16</f>
        <v>0</v>
      </c>
    </row>
    <row r="17" spans="1:20" x14ac:dyDescent="0.3">
      <c r="A17" s="10" t="s">
        <v>62</v>
      </c>
      <c r="B17" s="10" t="s">
        <v>53</v>
      </c>
      <c r="C17" s="10">
        <v>200</v>
      </c>
      <c r="D17" s="10">
        <v>0</v>
      </c>
      <c r="E17" s="10">
        <v>1</v>
      </c>
      <c r="F17" s="10">
        <v>2570</v>
      </c>
      <c r="G17" s="11">
        <f t="shared" si="0"/>
        <v>12.85</v>
      </c>
      <c r="H17" s="11">
        <f t="shared" si="1"/>
        <v>0</v>
      </c>
      <c r="I17" s="11">
        <f t="shared" si="2"/>
        <v>2570</v>
      </c>
      <c r="M17" s="2" t="s">
        <v>33</v>
      </c>
      <c r="N17" s="4">
        <v>0.5</v>
      </c>
      <c r="O17" s="4"/>
      <c r="P17" s="4" t="s">
        <v>92</v>
      </c>
      <c r="Q17" s="4">
        <v>2978.9</v>
      </c>
      <c r="R17" s="4"/>
      <c r="S17" s="19">
        <f t="shared" ref="S17:S21" si="5">N17*Q17</f>
        <v>1489.45</v>
      </c>
      <c r="T17" s="20">
        <f t="shared" ref="T17:T21" si="6">O17*R17</f>
        <v>0</v>
      </c>
    </row>
    <row r="18" spans="1:20" x14ac:dyDescent="0.3">
      <c r="A18" s="10" t="s">
        <v>62</v>
      </c>
      <c r="B18" s="10" t="s">
        <v>57</v>
      </c>
      <c r="C18" s="10">
        <v>2210</v>
      </c>
      <c r="D18" s="10">
        <v>0</v>
      </c>
      <c r="E18" s="10">
        <v>11</v>
      </c>
      <c r="F18" s="10">
        <v>8980</v>
      </c>
      <c r="G18" s="11">
        <f t="shared" si="0"/>
        <v>4.0633484162895925</v>
      </c>
      <c r="H18" s="11">
        <f t="shared" si="1"/>
        <v>0</v>
      </c>
      <c r="I18" s="11">
        <f t="shared" si="2"/>
        <v>816.36363636363637</v>
      </c>
      <c r="M18" s="2" t="s">
        <v>88</v>
      </c>
      <c r="N18" s="4"/>
      <c r="O18" s="4"/>
      <c r="P18" s="4"/>
      <c r="Q18" s="4"/>
      <c r="R18" s="4"/>
      <c r="S18" s="19">
        <f t="shared" si="5"/>
        <v>0</v>
      </c>
      <c r="T18" s="20">
        <f t="shared" si="6"/>
        <v>0</v>
      </c>
    </row>
    <row r="19" spans="1:20" x14ac:dyDescent="0.3">
      <c r="A19" s="10" t="s">
        <v>62</v>
      </c>
      <c r="B19" s="10" t="s">
        <v>58</v>
      </c>
      <c r="C19" s="10">
        <v>205</v>
      </c>
      <c r="D19" s="10">
        <v>0</v>
      </c>
      <c r="E19" s="10">
        <v>3</v>
      </c>
      <c r="F19" s="10">
        <v>5940</v>
      </c>
      <c r="G19" s="11">
        <f t="shared" si="0"/>
        <v>28.975609756097562</v>
      </c>
      <c r="H19" s="11">
        <f t="shared" si="1"/>
        <v>0</v>
      </c>
      <c r="I19" s="11">
        <f t="shared" si="2"/>
        <v>1980</v>
      </c>
      <c r="M19" s="2" t="s">
        <v>34</v>
      </c>
      <c r="N19" s="4">
        <v>4</v>
      </c>
      <c r="O19" s="4"/>
      <c r="P19" s="4" t="s">
        <v>90</v>
      </c>
      <c r="Q19" s="4">
        <v>410</v>
      </c>
      <c r="R19" s="4"/>
      <c r="S19" s="19">
        <f t="shared" si="5"/>
        <v>1640</v>
      </c>
      <c r="T19" s="20">
        <f t="shared" si="6"/>
        <v>0</v>
      </c>
    </row>
    <row r="20" spans="1:20" x14ac:dyDescent="0.3">
      <c r="A20" s="10" t="s">
        <v>62</v>
      </c>
      <c r="B20" s="10" t="s">
        <v>54</v>
      </c>
      <c r="C20" s="10">
        <v>200</v>
      </c>
      <c r="D20" s="10">
        <v>0</v>
      </c>
      <c r="E20" s="10"/>
      <c r="F20" s="10">
        <v>6000</v>
      </c>
      <c r="G20" s="11">
        <f t="shared" si="0"/>
        <v>30</v>
      </c>
      <c r="H20" s="11">
        <f t="shared" si="1"/>
        <v>0</v>
      </c>
      <c r="I20" s="11">
        <f t="shared" si="2"/>
        <v>0</v>
      </c>
      <c r="M20" s="2" t="s">
        <v>35</v>
      </c>
      <c r="N20" s="4"/>
      <c r="O20" s="4"/>
      <c r="P20" s="4"/>
      <c r="Q20" s="4">
        <v>26.2</v>
      </c>
      <c r="R20" s="4"/>
      <c r="S20" s="19">
        <f t="shared" si="5"/>
        <v>0</v>
      </c>
      <c r="T20" s="20">
        <f t="shared" si="6"/>
        <v>0</v>
      </c>
    </row>
    <row r="21" spans="1:20" x14ac:dyDescent="0.3">
      <c r="A21" s="10" t="s">
        <v>62</v>
      </c>
      <c r="B21" s="10" t="s">
        <v>55</v>
      </c>
      <c r="C21" s="10">
        <v>472</v>
      </c>
      <c r="D21" s="10">
        <v>0</v>
      </c>
      <c r="E21" s="10">
        <v>2</v>
      </c>
      <c r="F21" s="10">
        <v>2940</v>
      </c>
      <c r="G21" s="11">
        <f t="shared" si="0"/>
        <v>6.2288135593220337</v>
      </c>
      <c r="H21" s="11">
        <f t="shared" si="1"/>
        <v>0</v>
      </c>
      <c r="I21" s="11">
        <f t="shared" si="2"/>
        <v>1470</v>
      </c>
      <c r="M21" s="2" t="s">
        <v>36</v>
      </c>
      <c r="N21" s="4">
        <v>1</v>
      </c>
      <c r="O21" s="4"/>
      <c r="P21" s="4" t="s">
        <v>90</v>
      </c>
      <c r="Q21" s="4">
        <v>3970</v>
      </c>
      <c r="R21" s="4"/>
      <c r="S21" s="19">
        <f t="shared" si="5"/>
        <v>3970</v>
      </c>
      <c r="T21" s="20">
        <f t="shared" si="6"/>
        <v>0</v>
      </c>
    </row>
    <row r="22" spans="1:20" ht="17.25" thickBot="1" x14ac:dyDescent="0.35">
      <c r="A22" s="10" t="s">
        <v>62</v>
      </c>
      <c r="B22" s="10" t="s">
        <v>60</v>
      </c>
      <c r="C22" s="10">
        <v>0</v>
      </c>
      <c r="D22" s="10">
        <v>750</v>
      </c>
      <c r="E22" s="10">
        <v>1</v>
      </c>
      <c r="F22" s="10">
        <v>13990</v>
      </c>
      <c r="G22" s="11">
        <f t="shared" si="0"/>
        <v>0</v>
      </c>
      <c r="H22" s="11">
        <f t="shared" si="1"/>
        <v>18.653333333333332</v>
      </c>
      <c r="I22" s="11">
        <f t="shared" si="2"/>
        <v>13990</v>
      </c>
      <c r="M22" s="6" t="s">
        <v>78</v>
      </c>
      <c r="N22" s="7"/>
      <c r="O22" s="7"/>
      <c r="P22" s="7"/>
      <c r="Q22" s="7"/>
      <c r="R22" s="7"/>
      <c r="S22" s="23">
        <f>SUM(S16:T21)</f>
        <v>7829.45</v>
      </c>
      <c r="T22" s="24"/>
    </row>
    <row r="23" spans="1:20" x14ac:dyDescent="0.3">
      <c r="A23" s="10" t="s">
        <v>40</v>
      </c>
      <c r="B23" s="10" t="s">
        <v>20</v>
      </c>
      <c r="C23" s="10">
        <v>1700</v>
      </c>
      <c r="D23" s="10">
        <v>0</v>
      </c>
      <c r="E23" s="10">
        <v>2</v>
      </c>
      <c r="F23" s="10">
        <v>7890</v>
      </c>
      <c r="G23" s="11">
        <f t="shared" si="0"/>
        <v>4.6411764705882357</v>
      </c>
      <c r="H23" s="11">
        <f t="shared" si="1"/>
        <v>0</v>
      </c>
      <c r="I23" s="11">
        <f t="shared" si="2"/>
        <v>3945</v>
      </c>
    </row>
    <row r="24" spans="1:20" x14ac:dyDescent="0.3">
      <c r="A24" s="10" t="s">
        <v>62</v>
      </c>
      <c r="B24" s="10" t="s">
        <v>11</v>
      </c>
      <c r="C24" s="10">
        <v>55</v>
      </c>
      <c r="D24" s="10">
        <v>0</v>
      </c>
      <c r="E24" s="10">
        <v>1</v>
      </c>
      <c r="F24" s="10">
        <v>4180</v>
      </c>
      <c r="G24" s="11">
        <f t="shared" si="0"/>
        <v>76</v>
      </c>
      <c r="H24" s="11">
        <f t="shared" si="1"/>
        <v>0</v>
      </c>
      <c r="I24" s="11">
        <f t="shared" si="2"/>
        <v>4180</v>
      </c>
    </row>
    <row r="25" spans="1:20" x14ac:dyDescent="0.3">
      <c r="A25" s="10" t="s">
        <v>62</v>
      </c>
      <c r="B25" s="10" t="s">
        <v>31</v>
      </c>
      <c r="C25" s="10">
        <v>1200</v>
      </c>
      <c r="D25" s="10">
        <v>0</v>
      </c>
      <c r="E25" s="10">
        <v>2</v>
      </c>
      <c r="F25" s="10">
        <v>13400</v>
      </c>
      <c r="G25" s="11">
        <f t="shared" si="0"/>
        <v>11.166666666666666</v>
      </c>
      <c r="H25" s="11">
        <f t="shared" si="1"/>
        <v>0</v>
      </c>
      <c r="I25" s="11">
        <f t="shared" si="2"/>
        <v>6700</v>
      </c>
    </row>
    <row r="26" spans="1:20" x14ac:dyDescent="0.3">
      <c r="A26" s="10" t="s">
        <v>63</v>
      </c>
      <c r="B26" s="10" t="s">
        <v>19</v>
      </c>
      <c r="C26" s="10">
        <v>500</v>
      </c>
      <c r="D26" s="10">
        <v>0</v>
      </c>
      <c r="E26" s="10">
        <v>5</v>
      </c>
      <c r="F26" s="10">
        <v>5800</v>
      </c>
      <c r="G26" s="11">
        <f t="shared" si="0"/>
        <v>11.6</v>
      </c>
      <c r="H26" s="11">
        <f t="shared" si="1"/>
        <v>0</v>
      </c>
      <c r="I26" s="11">
        <f t="shared" si="2"/>
        <v>1160</v>
      </c>
    </row>
    <row r="27" spans="1:20" x14ac:dyDescent="0.3">
      <c r="A27" s="10" t="s">
        <v>63</v>
      </c>
      <c r="B27" s="10" t="s">
        <v>21</v>
      </c>
      <c r="C27" s="10">
        <v>0</v>
      </c>
      <c r="D27" s="10">
        <v>2000</v>
      </c>
      <c r="E27" s="10">
        <v>2</v>
      </c>
      <c r="F27" s="10">
        <v>12950</v>
      </c>
      <c r="G27" s="11">
        <f t="shared" si="0"/>
        <v>0</v>
      </c>
      <c r="H27" s="11">
        <f t="shared" si="1"/>
        <v>6.4749999999999996</v>
      </c>
      <c r="I27" s="11">
        <f t="shared" si="2"/>
        <v>6475</v>
      </c>
    </row>
    <row r="28" spans="1:20" x14ac:dyDescent="0.3">
      <c r="A28" s="10" t="s">
        <v>40</v>
      </c>
      <c r="B28" s="10" t="s">
        <v>22</v>
      </c>
      <c r="C28" s="10">
        <v>1360</v>
      </c>
      <c r="D28" s="10">
        <v>0</v>
      </c>
      <c r="E28" s="10">
        <v>2</v>
      </c>
      <c r="F28" s="10">
        <v>20490</v>
      </c>
      <c r="G28" s="11">
        <f t="shared" si="0"/>
        <v>15.066176470588236</v>
      </c>
      <c r="H28" s="11">
        <f t="shared" si="1"/>
        <v>0</v>
      </c>
      <c r="I28" s="11">
        <f t="shared" si="2"/>
        <v>10245</v>
      </c>
    </row>
    <row r="29" spans="1:20" x14ac:dyDescent="0.3">
      <c r="A29" s="10"/>
      <c r="B29" s="10" t="s">
        <v>24</v>
      </c>
      <c r="C29" s="10"/>
      <c r="D29" s="10"/>
      <c r="E29" s="10"/>
      <c r="F29" s="10"/>
      <c r="G29" s="11">
        <f t="shared" si="0"/>
        <v>0</v>
      </c>
      <c r="H29" s="11">
        <f t="shared" si="1"/>
        <v>0</v>
      </c>
      <c r="I29" s="11">
        <f t="shared" si="2"/>
        <v>0</v>
      </c>
    </row>
    <row r="30" spans="1:20" x14ac:dyDescent="0.3">
      <c r="A30" s="10" t="s">
        <v>63</v>
      </c>
      <c r="B30" s="10" t="s">
        <v>34</v>
      </c>
      <c r="C30" s="10"/>
      <c r="D30" s="10"/>
      <c r="E30" s="10">
        <v>40</v>
      </c>
      <c r="F30" s="10">
        <v>16400</v>
      </c>
      <c r="G30" s="11">
        <f t="shared" si="0"/>
        <v>0</v>
      </c>
      <c r="H30" s="11">
        <f t="shared" si="1"/>
        <v>0</v>
      </c>
      <c r="I30" s="11">
        <f t="shared" si="2"/>
        <v>410</v>
      </c>
    </row>
  </sheetData>
  <mergeCells count="2">
    <mergeCell ref="S11:T11"/>
    <mergeCell ref="S22:T22"/>
  </mergeCells>
  <phoneticPr fontId="1" type="noConversion"/>
  <pageMargins left="0.7" right="0.7" top="0.75" bottom="0.75" header="0.3" footer="0.3"/>
  <pageSetup paperSize="9" scale="64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레시피 무게</vt:lpstr>
      <vt:lpstr>단위당 단가</vt:lpstr>
      <vt:lpstr>큐바노 단가</vt:lpstr>
      <vt:lpstr>냉파스타 단가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H110M-K</dc:creator>
  <cp:lastModifiedBy>H110M-K</cp:lastModifiedBy>
  <cp:lastPrinted>2022-04-14T11:31:34Z</cp:lastPrinted>
  <dcterms:created xsi:type="dcterms:W3CDTF">2022-04-11T03:40:14Z</dcterms:created>
  <dcterms:modified xsi:type="dcterms:W3CDTF">2022-04-14T11:31:44Z</dcterms:modified>
</cp:coreProperties>
</file>